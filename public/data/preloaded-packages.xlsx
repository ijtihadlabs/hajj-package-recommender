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yeislam/Projects/hajj-package-recommender/public/data/"/>
    </mc:Choice>
  </mc:AlternateContent>
  <xr:revisionPtr revIDLastSave="0" documentId="13_ncr:1_{4D2DCD71-DCBE-504D-89D4-9FAA1996DC52}" xr6:coauthVersionLast="47" xr6:coauthVersionMax="47" xr10:uidLastSave="{00000000-0000-0000-0000-000000000000}"/>
  <bookViews>
    <workbookView xWindow="34560" yWindow="-6460" windowWidth="68800" windowHeight="28800" activeTab="1" xr2:uid="{AD8FC603-B9FA-4647-931F-FC446FF6F159}"/>
  </bookViews>
  <sheets>
    <sheet name="Sheet2" sheetId="2" r:id="rId1"/>
    <sheet name="APP_IMPORT" sheetId="3" r:id="rId2"/>
  </sheets>
  <definedNames>
    <definedName name="_xlnm._FilterDatabase" localSheetId="1" hidden="1">APP_IMPORT!$A$1:$Y$103</definedName>
    <definedName name="_xlnm._FilterDatabase" localSheetId="0" hidden="1">Sheet2!$A$1:$AE$66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84" i="3" l="1"/>
  <c r="W83" i="3"/>
  <c r="W72" i="3"/>
  <c r="W71" i="3"/>
  <c r="W66" i="3"/>
  <c r="W62" i="3"/>
  <c r="V84" i="3"/>
  <c r="V83" i="3"/>
  <c r="V51" i="3"/>
  <c r="U101" i="3"/>
  <c r="U100" i="3"/>
  <c r="U93" i="3"/>
  <c r="U90" i="3"/>
  <c r="U88" i="3"/>
  <c r="U86" i="3"/>
  <c r="U84" i="3"/>
  <c r="U83" i="3"/>
  <c r="U82" i="3"/>
  <c r="U80" i="3"/>
  <c r="U79" i="3"/>
  <c r="U72" i="3"/>
  <c r="U71" i="3"/>
  <c r="U69" i="3"/>
  <c r="U68" i="3"/>
  <c r="U62" i="3"/>
  <c r="U58" i="3"/>
  <c r="U57" i="3"/>
  <c r="U56" i="3"/>
  <c r="U55" i="3"/>
  <c r="U52" i="3"/>
  <c r="U49" i="3"/>
  <c r="U46" i="3"/>
  <c r="U45" i="3"/>
  <c r="U44" i="3"/>
  <c r="U28" i="3"/>
  <c r="U27" i="3"/>
  <c r="U25" i="3"/>
  <c r="U24" i="3"/>
  <c r="U23" i="3"/>
  <c r="U22" i="3"/>
  <c r="U19" i="3"/>
  <c r="U18" i="3"/>
  <c r="U17" i="3"/>
  <c r="U15" i="3"/>
  <c r="U14" i="3"/>
  <c r="U13" i="3"/>
  <c r="U12" i="3"/>
  <c r="U11" i="3"/>
  <c r="U10" i="3"/>
  <c r="U9" i="3"/>
  <c r="U7" i="3"/>
  <c r="U3" i="3"/>
  <c r="T101" i="3"/>
  <c r="T100" i="3"/>
  <c r="T93" i="3"/>
  <c r="T90" i="3"/>
  <c r="T88" i="3"/>
  <c r="T86" i="3"/>
  <c r="T84" i="3"/>
  <c r="T83" i="3"/>
  <c r="T82" i="3"/>
  <c r="T80" i="3"/>
  <c r="T79" i="3"/>
  <c r="T62" i="3"/>
  <c r="T56" i="3"/>
  <c r="T55" i="3"/>
  <c r="T51" i="3"/>
  <c r="T27" i="3"/>
  <c r="T25" i="3"/>
  <c r="T23" i="3"/>
  <c r="T21" i="3"/>
  <c r="T19" i="3"/>
  <c r="T17" i="3"/>
  <c r="T14" i="3"/>
  <c r="T13" i="3"/>
  <c r="T12" i="3"/>
  <c r="T11" i="3"/>
  <c r="T10" i="3"/>
  <c r="T9" i="3"/>
  <c r="T7" i="3"/>
  <c r="T3" i="3"/>
  <c r="S101" i="3"/>
  <c r="S100" i="3"/>
  <c r="S93" i="3"/>
  <c r="S90" i="3"/>
  <c r="S88" i="3"/>
  <c r="S86" i="3"/>
  <c r="S84" i="3"/>
  <c r="S83" i="3"/>
  <c r="S82" i="3"/>
  <c r="S80" i="3"/>
  <c r="S79" i="3"/>
  <c r="S69" i="3"/>
  <c r="S68" i="3"/>
  <c r="S62" i="3"/>
  <c r="S61" i="3"/>
  <c r="S49" i="3"/>
  <c r="S48" i="3"/>
  <c r="S46" i="3"/>
  <c r="S45" i="3"/>
  <c r="S42" i="3"/>
  <c r="S41" i="3"/>
  <c r="S38" i="3"/>
  <c r="S37" i="3"/>
  <c r="S36" i="3"/>
  <c r="S34" i="3"/>
  <c r="S33" i="3"/>
  <c r="S32" i="3"/>
  <c r="S31" i="3"/>
  <c r="S28" i="3"/>
  <c r="S27" i="3"/>
  <c r="S25" i="3"/>
  <c r="S24" i="3"/>
  <c r="S23" i="3"/>
  <c r="S22" i="3"/>
  <c r="S19" i="3"/>
  <c r="S18" i="3"/>
  <c r="S17" i="3"/>
  <c r="S15" i="3"/>
  <c r="S14" i="3"/>
  <c r="S13" i="3"/>
  <c r="S12" i="3"/>
  <c r="S11" i="3"/>
  <c r="S10" i="3"/>
  <c r="S9" i="3"/>
  <c r="S7" i="3"/>
  <c r="S3" i="3"/>
  <c r="R101" i="3"/>
  <c r="R93" i="3"/>
  <c r="R90" i="3"/>
  <c r="R88" i="3"/>
  <c r="R86" i="3"/>
  <c r="R84" i="3"/>
  <c r="R83" i="3"/>
  <c r="R82" i="3"/>
  <c r="R80" i="3"/>
  <c r="R79" i="3"/>
  <c r="R71" i="3"/>
  <c r="R65" i="3"/>
  <c r="R63" i="3"/>
  <c r="R62" i="3"/>
  <c r="R61" i="3"/>
  <c r="R57" i="3"/>
  <c r="R56" i="3"/>
  <c r="R51" i="3"/>
  <c r="R42" i="3"/>
  <c r="R40" i="3"/>
  <c r="R38" i="3"/>
  <c r="R37" i="3"/>
  <c r="R36" i="3"/>
  <c r="R34" i="3"/>
  <c r="R33" i="3"/>
  <c r="R32" i="3"/>
  <c r="R31" i="3"/>
  <c r="R27" i="3"/>
  <c r="R25" i="3"/>
  <c r="R23" i="3"/>
  <c r="R21" i="3"/>
  <c r="R19" i="3"/>
  <c r="R17" i="3"/>
  <c r="R14" i="3"/>
  <c r="R13" i="3"/>
  <c r="R12" i="3"/>
  <c r="R11" i="3"/>
  <c r="R10" i="3"/>
  <c r="R9" i="3"/>
  <c r="R7" i="3"/>
  <c r="R3" i="3"/>
  <c r="F103" i="3"/>
  <c r="F102" i="3"/>
  <c r="F101" i="3"/>
  <c r="F100" i="3"/>
  <c r="F99" i="3"/>
  <c r="F98" i="3"/>
  <c r="F97" i="3"/>
  <c r="F96" i="3"/>
  <c r="F95" i="3"/>
  <c r="F94" i="3"/>
  <c r="F93" i="3"/>
  <c r="F92" i="3"/>
  <c r="F91" i="3"/>
  <c r="F90" i="3"/>
  <c r="F89" i="3"/>
  <c r="F88" i="3"/>
  <c r="F87" i="3"/>
  <c r="F86" i="3"/>
  <c r="F85" i="3"/>
  <c r="F84" i="3"/>
  <c r="F83" i="3"/>
  <c r="F82" i="3"/>
  <c r="F81" i="3"/>
  <c r="F80" i="3"/>
  <c r="F79" i="3"/>
  <c r="F78" i="3"/>
  <c r="F77" i="3"/>
  <c r="F76" i="3"/>
  <c r="F75" i="3"/>
  <c r="F74" i="3"/>
  <c r="F73" i="3"/>
  <c r="F72" i="3"/>
  <c r="F71" i="3"/>
  <c r="F70" i="3"/>
  <c r="F69" i="3"/>
  <c r="F68" i="3"/>
  <c r="F67" i="3"/>
  <c r="F66" i="3"/>
  <c r="F65" i="3"/>
  <c r="F64" i="3"/>
  <c r="F63" i="3"/>
  <c r="F62" i="3"/>
  <c r="F61" i="3"/>
  <c r="F60" i="3"/>
  <c r="F59" i="3"/>
  <c r="F58" i="3"/>
  <c r="F57" i="3"/>
  <c r="F56" i="3"/>
  <c r="F55" i="3"/>
  <c r="F54" i="3"/>
  <c r="F53" i="3"/>
  <c r="F52" i="3"/>
  <c r="F51" i="3"/>
  <c r="F50" i="3"/>
  <c r="F49" i="3"/>
  <c r="F48" i="3"/>
  <c r="F47" i="3"/>
  <c r="F46" i="3"/>
  <c r="F45" i="3"/>
  <c r="F44" i="3"/>
  <c r="F43" i="3"/>
  <c r="F42" i="3"/>
  <c r="F41" i="3"/>
  <c r="F40" i="3"/>
  <c r="F39" i="3"/>
  <c r="F38" i="3"/>
  <c r="F37" i="3"/>
  <c r="F36" i="3"/>
  <c r="F35" i="3"/>
  <c r="F34" i="3"/>
  <c r="F33" i="3"/>
  <c r="F32" i="3"/>
  <c r="F31" i="3"/>
  <c r="F30" i="3"/>
  <c r="F29" i="3"/>
  <c r="F28" i="3"/>
  <c r="F27" i="3"/>
  <c r="F26" i="3"/>
  <c r="F25" i="3"/>
  <c r="F24" i="3"/>
  <c r="F23" i="3"/>
  <c r="F22" i="3"/>
  <c r="F21" i="3"/>
  <c r="F20" i="3"/>
  <c r="F19" i="3"/>
  <c r="F18" i="3"/>
  <c r="F17" i="3"/>
  <c r="F16" i="3"/>
  <c r="F15" i="3"/>
  <c r="F14" i="3"/>
  <c r="F13" i="3"/>
  <c r="F12" i="3"/>
  <c r="F11" i="3"/>
  <c r="F10" i="3"/>
  <c r="F9" i="3"/>
  <c r="F8" i="3"/>
  <c r="F7" i="3"/>
  <c r="F6" i="3"/>
  <c r="F5" i="3"/>
  <c r="F4" i="3"/>
  <c r="F3" i="3"/>
  <c r="F2" i="3"/>
  <c r="F22" i="2" l="1"/>
  <c r="Y22" i="2"/>
  <c r="Z22" i="2"/>
  <c r="AA22" i="2"/>
  <c r="Y6" i="2"/>
  <c r="Z61" i="2"/>
  <c r="AA16" i="2"/>
  <c r="F6" i="2"/>
  <c r="U17" i="2"/>
  <c r="T17" i="2"/>
  <c r="S17" i="2"/>
  <c r="R17" i="2"/>
  <c r="Q17" i="2"/>
  <c r="F17" i="2"/>
  <c r="R29" i="2"/>
  <c r="Q29" i="2"/>
  <c r="F29" i="2"/>
  <c r="V66" i="2"/>
  <c r="T66" i="2"/>
  <c r="R66" i="2"/>
  <c r="F66" i="2"/>
  <c r="F61" i="2"/>
  <c r="Q16" i="2"/>
  <c r="F16" i="2"/>
  <c r="T60" i="2"/>
  <c r="S60" i="2"/>
  <c r="R60" i="2"/>
  <c r="S34" i="2"/>
  <c r="R34" i="2"/>
  <c r="S55" i="2"/>
  <c r="S54" i="2"/>
  <c r="AB24" i="2"/>
  <c r="Z37" i="2"/>
  <c r="Y11" i="2"/>
  <c r="Y43" i="2"/>
  <c r="Y38" i="2"/>
  <c r="AD3" i="2"/>
  <c r="AA5" i="2"/>
  <c r="AD21" i="2"/>
  <c r="AD4" i="2"/>
  <c r="Z52" i="2"/>
  <c r="AA8" i="2"/>
  <c r="AA9" i="2"/>
  <c r="AD12" i="2"/>
  <c r="AA56" i="2"/>
  <c r="AB57" i="2"/>
  <c r="Y41" i="2"/>
  <c r="AB44" i="2"/>
  <c r="Y59" i="2"/>
  <c r="AA35" i="2"/>
  <c r="Z13" i="2"/>
  <c r="AA14" i="2"/>
  <c r="Y28" i="2"/>
  <c r="Z64" i="2"/>
  <c r="AA20" i="2"/>
  <c r="Y46" i="2"/>
  <c r="Z47" i="2"/>
  <c r="AB42" i="2"/>
  <c r="AA53" i="2"/>
  <c r="AA39" i="2"/>
  <c r="Y49" i="2"/>
  <c r="Z19" i="2"/>
  <c r="AA33" i="2"/>
  <c r="Y40" i="2"/>
  <c r="AA55" i="2"/>
  <c r="S39" i="2"/>
  <c r="F34" i="2"/>
  <c r="F55" i="2"/>
  <c r="F54" i="2"/>
  <c r="F60" i="2"/>
  <c r="T40" i="2"/>
  <c r="S40" i="2"/>
  <c r="F40" i="2"/>
  <c r="F33" i="2"/>
  <c r="F19" i="2"/>
  <c r="R50" i="2"/>
  <c r="Q50" i="2"/>
  <c r="F50" i="2"/>
  <c r="F49" i="2"/>
  <c r="F39" i="2"/>
  <c r="F48" i="2"/>
  <c r="F53" i="2"/>
  <c r="Q39" i="2"/>
  <c r="Q48" i="2"/>
  <c r="S53" i="2"/>
  <c r="T2" i="2"/>
  <c r="S2" i="2"/>
  <c r="R2" i="2"/>
  <c r="AD2" i="2" s="1"/>
  <c r="Q2" i="2"/>
  <c r="T7" i="2"/>
  <c r="S7" i="2"/>
  <c r="R7" i="2"/>
  <c r="Q7" i="2"/>
  <c r="V62" i="2"/>
  <c r="U62" i="2"/>
  <c r="T62" i="2"/>
  <c r="S62" i="2"/>
  <c r="R62" i="2"/>
  <c r="Q62" i="2"/>
  <c r="V42" i="2"/>
  <c r="U42" i="2"/>
  <c r="T42" i="2"/>
  <c r="S42" i="2"/>
  <c r="R42" i="2"/>
  <c r="Q42" i="2"/>
  <c r="F42" i="2"/>
  <c r="T65" i="2"/>
  <c r="S65" i="2"/>
  <c r="R65" i="2"/>
  <c r="Q65" i="2"/>
  <c r="F65" i="2"/>
  <c r="T15" i="2"/>
  <c r="S15" i="2"/>
  <c r="Q15" i="2"/>
  <c r="F15" i="2"/>
  <c r="T23" i="2"/>
  <c r="S23" i="2"/>
  <c r="R23" i="2"/>
  <c r="Q23" i="2"/>
  <c r="F23" i="2"/>
  <c r="T27" i="2"/>
  <c r="S27" i="2"/>
  <c r="R27" i="2"/>
  <c r="Q27" i="2"/>
  <c r="R59" i="2"/>
  <c r="Q59" i="2"/>
  <c r="R58" i="2"/>
  <c r="Q58" i="2"/>
  <c r="R45" i="2"/>
  <c r="Q45" i="2"/>
  <c r="S36" i="2"/>
  <c r="Q36" i="2"/>
  <c r="S35" i="2"/>
  <c r="Q35" i="2"/>
  <c r="AB10" i="2"/>
  <c r="T26" i="2"/>
  <c r="S26" i="2"/>
  <c r="R26" i="2"/>
  <c r="Q26" i="2"/>
  <c r="F26" i="2"/>
  <c r="T63" i="2"/>
  <c r="S63" i="2"/>
  <c r="R63" i="2"/>
  <c r="Q63" i="2"/>
  <c r="F63" i="2"/>
  <c r="F47" i="2"/>
  <c r="T46" i="2"/>
  <c r="S46" i="2"/>
  <c r="R46" i="2"/>
  <c r="Q46" i="2"/>
  <c r="F46" i="2"/>
  <c r="S9" i="2"/>
  <c r="Q9" i="2"/>
  <c r="S12" i="2"/>
  <c r="Q12" i="2"/>
  <c r="S8" i="2"/>
  <c r="Q8" i="2"/>
  <c r="T52" i="2"/>
  <c r="R52" i="2"/>
  <c r="T18" i="2"/>
  <c r="S18" i="2"/>
  <c r="R18" i="2"/>
  <c r="Q18" i="2"/>
  <c r="S21" i="2"/>
  <c r="Q21" i="2"/>
  <c r="T32" i="2"/>
  <c r="S32" i="2"/>
  <c r="R32" i="2"/>
  <c r="Q32" i="2"/>
  <c r="S5" i="2"/>
  <c r="Q5" i="2"/>
  <c r="T31" i="2"/>
  <c r="S31" i="2"/>
  <c r="R31" i="2"/>
  <c r="Q31" i="2"/>
  <c r="T30" i="2"/>
  <c r="S30" i="2"/>
  <c r="R30" i="2"/>
  <c r="Q30" i="2"/>
  <c r="T51" i="2"/>
  <c r="S51" i="2"/>
  <c r="R51" i="2"/>
  <c r="Q51" i="2"/>
  <c r="T25" i="2"/>
  <c r="S25" i="2"/>
  <c r="R25" i="2"/>
  <c r="Q25" i="2"/>
  <c r="T38" i="2"/>
  <c r="S38" i="2"/>
  <c r="R38" i="2"/>
  <c r="Q38" i="2"/>
  <c r="T24" i="2"/>
  <c r="R24" i="2"/>
  <c r="S24" i="2"/>
  <c r="Q24" i="2"/>
  <c r="F36" i="2"/>
  <c r="F35" i="2"/>
  <c r="AB2" i="2"/>
  <c r="F2" i="2"/>
  <c r="F45" i="2"/>
  <c r="F58" i="2"/>
  <c r="F59" i="2"/>
  <c r="F41" i="2"/>
  <c r="F44" i="2"/>
  <c r="F56" i="2"/>
  <c r="F57" i="2"/>
  <c r="F9" i="2"/>
  <c r="F12" i="2"/>
  <c r="F4" i="2"/>
  <c r="F21" i="2"/>
  <c r="F18" i="2"/>
  <c r="F5" i="2"/>
  <c r="F32" i="2"/>
  <c r="F30" i="2"/>
  <c r="F51" i="2"/>
  <c r="F31" i="2"/>
  <c r="F52" i="2"/>
  <c r="F8" i="2"/>
  <c r="F27" i="2"/>
  <c r="F13" i="2"/>
  <c r="F14" i="2"/>
  <c r="F64" i="2"/>
  <c r="F20" i="2"/>
  <c r="F25" i="2"/>
  <c r="F38" i="2"/>
  <c r="F43" i="2"/>
  <c r="F24" i="2"/>
  <c r="F3" i="2"/>
  <c r="F11" i="2"/>
  <c r="F10" i="2"/>
  <c r="F37" i="2"/>
  <c r="F7" i="2"/>
  <c r="F28" i="2"/>
  <c r="F62" i="2"/>
  <c r="Z50" i="2" l="1"/>
  <c r="AA66" i="2"/>
  <c r="Z36" i="2"/>
  <c r="Z48" i="2"/>
  <c r="AA65" i="2"/>
  <c r="Z27" i="2"/>
  <c r="AA32" i="2"/>
  <c r="AA7" i="2"/>
  <c r="Z62" i="2"/>
  <c r="Z45" i="2"/>
  <c r="AA31" i="2"/>
  <c r="Z34" i="2"/>
  <c r="Z30" i="2"/>
  <c r="AA51" i="2"/>
  <c r="Z15" i="2"/>
  <c r="AA60" i="2"/>
  <c r="Z23" i="2"/>
  <c r="AA29" i="2"/>
  <c r="Z26" i="2"/>
  <c r="Z25" i="2"/>
  <c r="Z17" i="2"/>
  <c r="Z63" i="2"/>
  <c r="Z58" i="2"/>
  <c r="AD18" i="2"/>
  <c r="Y16" i="2"/>
  <c r="Z16" i="2"/>
  <c r="Y29" i="2"/>
  <c r="Z29" i="2"/>
  <c r="Z6" i="2"/>
  <c r="AA61" i="2"/>
  <c r="AA6" i="2"/>
  <c r="AA17" i="2"/>
  <c r="Y61" i="2"/>
  <c r="Y66" i="2"/>
  <c r="Z66" i="2"/>
  <c r="Y17" i="2"/>
  <c r="Z54" i="2"/>
  <c r="AA15" i="2"/>
  <c r="Y15" i="2"/>
  <c r="Y65" i="2"/>
  <c r="AA62" i="2"/>
  <c r="Z65" i="2"/>
  <c r="AC42" i="2"/>
  <c r="Y62" i="2"/>
  <c r="Y27" i="2"/>
  <c r="AD42" i="2"/>
  <c r="Z46" i="2"/>
  <c r="AA46" i="2"/>
  <c r="Y64" i="2"/>
  <c r="AA27" i="2"/>
  <c r="Y20" i="2"/>
  <c r="Y13" i="2"/>
  <c r="AA64" i="2"/>
  <c r="Z20" i="2"/>
  <c r="AA23" i="2"/>
  <c r="AA13" i="2"/>
  <c r="Z28" i="2"/>
  <c r="AA26" i="2"/>
  <c r="AA28" i="2"/>
  <c r="Y23" i="2"/>
  <c r="AA47" i="2"/>
  <c r="Y63" i="2"/>
  <c r="Z14" i="2"/>
  <c r="Z7" i="2"/>
  <c r="AA63" i="2"/>
  <c r="Y47" i="2"/>
  <c r="Y14" i="2"/>
  <c r="Y7" i="2"/>
  <c r="Y26" i="2"/>
  <c r="AA19" i="2"/>
  <c r="Y33" i="2"/>
  <c r="AA40" i="2"/>
  <c r="Z33" i="2"/>
  <c r="Z40" i="2"/>
  <c r="Z35" i="2"/>
  <c r="Y60" i="2"/>
  <c r="AA54" i="2"/>
  <c r="Y39" i="2"/>
  <c r="Y55" i="2"/>
  <c r="Z39" i="2"/>
  <c r="Z55" i="2"/>
  <c r="Y35" i="2"/>
  <c r="Z49" i="2"/>
  <c r="Z60" i="2"/>
  <c r="AA48" i="2"/>
  <c r="AA49" i="2"/>
  <c r="Y36" i="2"/>
  <c r="Y34" i="2"/>
  <c r="AA36" i="2"/>
  <c r="AA34" i="2"/>
  <c r="Y53" i="2"/>
  <c r="Z53" i="2"/>
  <c r="AA50" i="2"/>
  <c r="Y50" i="2"/>
  <c r="Y48" i="2"/>
  <c r="Y19" i="2"/>
  <c r="Y54" i="2"/>
  <c r="AC57" i="2"/>
  <c r="AD57" i="2"/>
  <c r="AA58" i="2"/>
  <c r="AA41" i="2"/>
  <c r="AC18" i="2"/>
  <c r="Y31" i="2"/>
  <c r="AB18" i="2"/>
  <c r="Y32" i="2"/>
  <c r="AA37" i="2"/>
  <c r="AC12" i="2"/>
  <c r="AC44" i="2"/>
  <c r="AD44" i="2"/>
  <c r="AB12" i="2"/>
  <c r="AA25" i="2"/>
  <c r="AC10" i="2"/>
  <c r="Y9" i="2"/>
  <c r="AA45" i="2"/>
  <c r="AA30" i="2"/>
  <c r="Z41" i="2"/>
  <c r="Y30" i="2"/>
  <c r="Y58" i="2"/>
  <c r="Y45" i="2"/>
  <c r="Y52" i="2"/>
  <c r="Z38" i="2"/>
  <c r="AA52" i="2"/>
  <c r="Z31" i="2"/>
  <c r="Y8" i="2"/>
  <c r="Z59" i="2"/>
  <c r="AA59" i="2"/>
  <c r="AA11" i="2"/>
  <c r="Y5" i="2"/>
  <c r="Z9" i="2"/>
  <c r="Y56" i="2"/>
  <c r="AA38" i="2"/>
  <c r="Y25" i="2"/>
  <c r="Z5" i="2"/>
  <c r="Z56" i="2"/>
  <c r="AA43" i="2"/>
  <c r="AD10" i="2"/>
  <c r="AB21" i="2"/>
  <c r="Z43" i="2"/>
  <c r="AC21" i="2"/>
  <c r="Z8" i="2"/>
  <c r="Z32" i="2"/>
  <c r="AB3" i="2"/>
  <c r="Y51" i="2"/>
  <c r="AB4" i="2"/>
  <c r="Y37" i="2"/>
  <c r="AC3" i="2"/>
  <c r="Z51" i="2"/>
  <c r="AC4" i="2"/>
  <c r="Z11" i="2"/>
  <c r="AC24" i="2"/>
  <c r="AD24" i="2"/>
</calcChain>
</file>

<file path=xl/sharedStrings.xml><?xml version="1.0" encoding="utf-8"?>
<sst xmlns="http://schemas.openxmlformats.org/spreadsheetml/2006/main" count="1870" uniqueCount="343">
  <si>
    <t>Package Link</t>
  </si>
  <si>
    <t>Elite Plus</t>
  </si>
  <si>
    <t>View Hotel</t>
  </si>
  <si>
    <t>A</t>
  </si>
  <si>
    <t>B2500</t>
  </si>
  <si>
    <t>B3400</t>
  </si>
  <si>
    <t>B1820</t>
  </si>
  <si>
    <t>B2400</t>
  </si>
  <si>
    <t>B2300</t>
  </si>
  <si>
    <t>B3700</t>
  </si>
  <si>
    <t>B1400</t>
  </si>
  <si>
    <t>Makarem Burj Al-Madinah</t>
  </si>
  <si>
    <t>Millenium Al-Aqeeq</t>
  </si>
  <si>
    <t>Makkah Hotel Zone</t>
  </si>
  <si>
    <t>Luxury Makarem</t>
  </si>
  <si>
    <t>RAWAF 201 MARRIOTT 5 STAR</t>
  </si>
  <si>
    <t>B</t>
  </si>
  <si>
    <t>Seera Group</t>
  </si>
  <si>
    <t>Anjum Hotel</t>
  </si>
  <si>
    <t>NA</t>
  </si>
  <si>
    <t>Package Name</t>
  </si>
  <si>
    <t>First city</t>
  </si>
  <si>
    <t>Medina Hotel</t>
  </si>
  <si>
    <t>Non-shifting</t>
  </si>
  <si>
    <t>Al Muaisim</t>
  </si>
  <si>
    <t>London (LHR)</t>
  </si>
  <si>
    <t>Pullman Zamzam</t>
  </si>
  <si>
    <t>Makkah</t>
  </si>
  <si>
    <t>Nesmat Aljoury Hotel</t>
  </si>
  <si>
    <t>https://hajj.nusuk.sa/sp/package/summary/ac910000-66ae-56b2-7160-08de4c7b1c85</t>
  </si>
  <si>
    <t>Manchester (MAN)</t>
  </si>
  <si>
    <t>C</t>
  </si>
  <si>
    <t>M</t>
  </si>
  <si>
    <t>Medina Check In</t>
  </si>
  <si>
    <t>Makkah Check In</t>
  </si>
  <si>
    <t>Aziziya Check In</t>
  </si>
  <si>
    <t>Marriott Jabal Omar</t>
  </si>
  <si>
    <t>Mawasim Value 020</t>
  </si>
  <si>
    <t>Makkah Hotel</t>
  </si>
  <si>
    <t>Mawasim Value 080</t>
  </si>
  <si>
    <t>Maien Al Madina</t>
  </si>
  <si>
    <t>Safwat Altalayie</t>
  </si>
  <si>
    <t>Supreme 03</t>
  </si>
  <si>
    <t>Maad International</t>
  </si>
  <si>
    <t>Mawasim Value 030</t>
  </si>
  <si>
    <t>Supreme 02</t>
  </si>
  <si>
    <t>Mawasim Smart 01</t>
  </si>
  <si>
    <t>Park House Hotel</t>
  </si>
  <si>
    <t>Mawasim Value Plus 03</t>
  </si>
  <si>
    <t>Mawasim Value Plus 05</t>
  </si>
  <si>
    <t>Sheraton Makkah</t>
  </si>
  <si>
    <t>Al Bait Guest</t>
  </si>
  <si>
    <t>A5500</t>
  </si>
  <si>
    <t>A1810</t>
  </si>
  <si>
    <t>A1800</t>
  </si>
  <si>
    <t>A1400</t>
  </si>
  <si>
    <t>A1900</t>
  </si>
  <si>
    <t>A1700</t>
  </si>
  <si>
    <t>A1300</t>
  </si>
  <si>
    <t>A1500</t>
  </si>
  <si>
    <t>Millennium Taiba</t>
  </si>
  <si>
    <t>Waqf Othman Hotel</t>
  </si>
  <si>
    <t>Dal Al-Iman Intercontinental</t>
  </si>
  <si>
    <t>Al-Kiswah Towers</t>
  </si>
  <si>
    <t>Hilton Convention Jabal Omar</t>
  </si>
  <si>
    <t>Al-Wataniya</t>
  </si>
  <si>
    <t>Arees Al Shisha</t>
  </si>
  <si>
    <t>B5400</t>
  </si>
  <si>
    <t>B5300</t>
  </si>
  <si>
    <t>B1200</t>
  </si>
  <si>
    <t>B3900</t>
  </si>
  <si>
    <t>Abdulhafiz Al Humaidan</t>
  </si>
  <si>
    <t>Doubletree by Hilton Jabal Omar</t>
  </si>
  <si>
    <t>Conrad Jabal Omar Makkah</t>
  </si>
  <si>
    <t>https://hajj.nusuk.sa/sp/package/summary/58260000-1777-56b2-9edc-08de4ea8527f</t>
  </si>
  <si>
    <t>https://hajj.nusuk.sa/sp/package/summary/685d0000-66ae-56b2-3949-08de4ec70221</t>
  </si>
  <si>
    <t>https://hajj.nusuk.sa/sp/package/summary/9c790000-66ae-56b2-7568-08de4ef8020d</t>
  </si>
  <si>
    <t>https://hajj.nusuk.sa/sp/package/summary/9c490000-befd-56b2-4b7f-08de4de870d9</t>
  </si>
  <si>
    <t>https://hajj.nusuk.sa/sp/package/summary/f0450000-befd-56b2-af61-08de4d3d7e23</t>
  </si>
  <si>
    <t>https://hajj.nusuk.sa/sp/package/summary/f0450000-befd-56b2-32a6-08de4d3abe40</t>
  </si>
  <si>
    <t>https://hajj.nusuk.sa/sp/package/summary/f8a30000-7c25-56b2-be8f-08de4e96d643</t>
  </si>
  <si>
    <t>https://hajj.nusuk.sa/sp/package/summary/58260000-1777-56b2-0845-08de4ed9b2d0</t>
  </si>
  <si>
    <t>https://hajj.nusuk.sa/sp/package/summary/f8a30000-7c25-56b2-2f47-08de4e9f6d5b</t>
  </si>
  <si>
    <t>https://hajj.nusuk.sa/sp/package/summary/58260000-1777-56b2-6b10-08de4e9a3f2c</t>
  </si>
  <si>
    <t>https://hajj.nusuk.sa/sp/package/summary/685d0000-66ae-56b2-aef2-08de4ea3932f</t>
  </si>
  <si>
    <t>https://hajj.nusuk.sa/sp/package/summary/58260000-1777-56b2-f27e-08de4e261a1c</t>
  </si>
  <si>
    <t>https://hajj.nusuk.sa/sp/package/summary/b0690000-1777-56b2-2d0d-08de50879299</t>
  </si>
  <si>
    <t>https://hajj.nusuk.sa/sp/package/summary/685d0000-66ae-56b2-3376-08de4df5d7c4</t>
  </si>
  <si>
    <t>https://hajj.nusuk.sa/sp/package/summary/f81a0000-66ae-56b2-f62f-08de4d673bd0</t>
  </si>
  <si>
    <t>https://hajj.nusuk.sa/sp/package/summary/fc7c0000-7c25-56b2-a4d4-08de4d50f3c5</t>
  </si>
  <si>
    <t>https://hajj.nusuk.sa/sp/package/summary/04a60000-befd-56b2-e65b-08de4e0f9a00</t>
  </si>
  <si>
    <t>https://hajj.nusuk.sa/sp/package/summary/04a60000-befd-56b2-80f1-08de4e31e887</t>
  </si>
  <si>
    <t>https://hajj.nusuk.sa/sp/package/summary/fc7c0000-7c25-56b2-8a5e-08de4d5dabb6</t>
  </si>
  <si>
    <t>https://hajj.nusuk.sa/sp/package/summary/54b70000-7c25-56b2-d56d-08de4c67cc5a</t>
  </si>
  <si>
    <t>Dur Hospitality</t>
  </si>
  <si>
    <t>Standard AL Qibla</t>
  </si>
  <si>
    <t>Premium Hira</t>
  </si>
  <si>
    <t>Premium Alnoor</t>
  </si>
  <si>
    <t>https://hajj.nusuk.sa/sp/package/summary/746c0000-66ae-56b2-e7c7-08de4bc21787</t>
  </si>
  <si>
    <t>https://hajj.nusuk.sa/sp/package/summary/f0c00000-1777-56b2-b2ac-08de4bb0578d</t>
  </si>
  <si>
    <t>https://hajj.nusuk.sa/sp/package/summary/64310000-befd-56b2-5e3b-08de4ba5c541</t>
  </si>
  <si>
    <t>Makarem Hotel</t>
  </si>
  <si>
    <t>Al-Sarafah</t>
  </si>
  <si>
    <t>Courtyard by Marriott</t>
  </si>
  <si>
    <t>Roman Awan</t>
  </si>
  <si>
    <t>Rayahan Mashaaer</t>
  </si>
  <si>
    <t>Mawasim Value 050</t>
  </si>
  <si>
    <t>Funduq Taba Al Salam</t>
  </si>
  <si>
    <t>Mawasim Value 070</t>
  </si>
  <si>
    <t>HSR Comfort 22 Nights</t>
  </si>
  <si>
    <t>London (STN)</t>
  </si>
  <si>
    <t>Razana Al Rawda</t>
  </si>
  <si>
    <t>SID Executive B</t>
  </si>
  <si>
    <t>https://hajj.nusuk.sa/sp/package/summary/24600000-1777-56b2-3bba-08de4f72c60b</t>
  </si>
  <si>
    <t>Swissotel Makkah</t>
  </si>
  <si>
    <t>https://hajj.nusuk.sa/sp/package/summary/04a60000-befd-56b2-1c90-08de4e183bd7</t>
  </si>
  <si>
    <t>https://hajj.nusuk.sa/sp/package/summary/24600000-1777-56b2-224d-08de4eec5fd8</t>
  </si>
  <si>
    <t>https://hajj.nusuk.sa/sp/package/summary/e4790000-befd-56b2-66f5-08de5109bdcc</t>
  </si>
  <si>
    <t>https://hajj.nusuk.sa/sp/package/summary/04830000-7c25-56b2-7870-08de513382d3</t>
  </si>
  <si>
    <t>Ikram Aldeif</t>
  </si>
  <si>
    <t>Anjum 304</t>
  </si>
  <si>
    <t>Movenpick Anwar</t>
  </si>
  <si>
    <t>Holiday Inn Bakkah</t>
  </si>
  <si>
    <t>https://hajj.nusuk.sa/sp/package/summary/e4790000-befd-56b2-4a18-08de51340686</t>
  </si>
  <si>
    <t>Anjum 305</t>
  </si>
  <si>
    <t>Nusk Al Eman</t>
  </si>
  <si>
    <t>Montana Hotel</t>
  </si>
  <si>
    <t>Makkah Triple Upgrade fees</t>
  </si>
  <si>
    <t>Makkah Double Upgrade Fee</t>
  </si>
  <si>
    <t>Madinah Triple Upgrade Fee</t>
  </si>
  <si>
    <t>Madinah Double Upgrade Fee</t>
  </si>
  <si>
    <t>Aziziya Triple Upgrade Fee</t>
  </si>
  <si>
    <t>Aziziya Double Upgrade Fee</t>
  </si>
  <si>
    <t>Package Listed Price for Quad without Flight</t>
  </si>
  <si>
    <t>Package Provider</t>
  </si>
  <si>
    <t>Flight Gateway</t>
  </si>
  <si>
    <t>Package Start Date</t>
  </si>
  <si>
    <t>Package End Date</t>
  </si>
  <si>
    <t>Package Duration</t>
  </si>
  <si>
    <t>Aziziya Hotel</t>
  </si>
  <si>
    <t>Mina Camp</t>
  </si>
  <si>
    <t>Camp Upgrade Fee</t>
  </si>
  <si>
    <t>Total Package Price for Quad in Al Muaisim</t>
  </si>
  <si>
    <t>Total Package Price for Triole in Al Muaisim</t>
  </si>
  <si>
    <t>Total Package Price for Double in Al Muaisim</t>
  </si>
  <si>
    <t>Total Package Price for Quad in Majr AlKabsh</t>
  </si>
  <si>
    <t>Total Package Price for Triple in Majr AlKabsh</t>
  </si>
  <si>
    <t>Total Package Price for Double in Majr AlKabsh</t>
  </si>
  <si>
    <t>Majr AlKabsh</t>
  </si>
  <si>
    <t>Non-Shifting</t>
  </si>
  <si>
    <t>Max UK Flight Cost</t>
  </si>
  <si>
    <t>Standard Altayseer</t>
  </si>
  <si>
    <t>https://hajj.nusuk.sa/sp/package/summary/80050000-53a9-56b2-fd20-08de5817bda3</t>
  </si>
  <si>
    <t>standard Al barkh</t>
  </si>
  <si>
    <t>https://hajj.nusuk.sa/sp/package/summary/c42c0000-66ae-56b2-0677-08de58057cdc</t>
  </si>
  <si>
    <t>https://hajj.nusuk.sa/sp/package/summary/183d0000-1777-56b2-ec76-08de5818e6c4</t>
  </si>
  <si>
    <t>HSR Comfort 15 Nights</t>
  </si>
  <si>
    <t>https://hajj.nusuk.sa/sp/package/summary/04830000-7c25-56b2-3656-08de51079256</t>
  </si>
  <si>
    <t>Nozol Royal</t>
  </si>
  <si>
    <t>SID Essentials A</t>
  </si>
  <si>
    <t>https://hajj.nusuk.sa/sp/package/summary/04830000-7c25-56b2-f44f-08de510fc446</t>
  </si>
  <si>
    <t>Waqf Al Safi</t>
  </si>
  <si>
    <t>Aldanah Almasiyyah</t>
  </si>
  <si>
    <t>HSR Gold 01</t>
  </si>
  <si>
    <t>https://hajj.nusuk.sa/sp/package/summary/74d80000-1777-56b2-1ed1-08de50f82d1d</t>
  </si>
  <si>
    <t>https://hajj.nusuk.sa/sp/package/summary/54b70000-7c25-56b2-5900-08de4c65745e</t>
  </si>
  <si>
    <t>Jabal Omar Hyayy Regency</t>
  </si>
  <si>
    <t>AlRawda 118</t>
  </si>
  <si>
    <t>https://hajj.nusuk.sa/sp/package/summary/84800000-befd-56b2-2128-08de4ef9dde3</t>
  </si>
  <si>
    <t>Al Shakreen Golden Tulip</t>
  </si>
  <si>
    <t>Emaar Al Rawda 2</t>
  </si>
  <si>
    <t>Byak 111</t>
  </si>
  <si>
    <t>https://hajj.nusuk.sa/sp/package/summary/24600000-1777-56b2-4ebc-08de4f01f8b9</t>
  </si>
  <si>
    <t>Concorde Dar Al Khair</t>
  </si>
  <si>
    <t>Biak Otel</t>
  </si>
  <si>
    <t>Byak 115</t>
  </si>
  <si>
    <t>https://hajj.nusuk.sa/sp/package/summary/9c790000-66ae-56b2-0534-08de4f178e9e</t>
  </si>
  <si>
    <t>https://hajj.nusuk.sa/sp/package/summary/44ad0000-7c25-56b2-07c5-08de542d88a2</t>
  </si>
  <si>
    <t>Dar Almaqam</t>
  </si>
  <si>
    <t>AlMaqam 133 (Triple Makkah)</t>
  </si>
  <si>
    <t>Al Maqam 106</t>
  </si>
  <si>
    <t>https://hajj.nusuk.sa/sp/package/summary/ac910000-66ae-56b2-506e-08de4c81eb01</t>
  </si>
  <si>
    <t>Legend 124</t>
  </si>
  <si>
    <t>https://hajj.nusuk.sa/sp/package/summary/58260000-1777-56b2-5fed-08de4ed77a7a</t>
  </si>
  <si>
    <t>Emaar Legend Hotel</t>
  </si>
  <si>
    <t>Legend 125</t>
  </si>
  <si>
    <t>https://hajj.nusuk.sa/sp/package/summary/cca90000-66ae-56b2-bae7-08de51f88e9a</t>
  </si>
  <si>
    <t>Legend 128</t>
  </si>
  <si>
    <t>https://hajj.nusuk.sa/sp/package/summary/9c790000-66ae-56b2-0abf-08de4f7f2191</t>
  </si>
  <si>
    <t>Park Plaza 101</t>
  </si>
  <si>
    <t>https://hajj.nusuk.sa/sp/package/summary/a0e20000-1777-56b2-7db1-08de4ddb01b0</t>
  </si>
  <si>
    <t>Park Plaza</t>
  </si>
  <si>
    <t>Park Plaza 110</t>
  </si>
  <si>
    <t>https://hajj.nusuk.sa/sp/package/summary/f83b0000-7c25-56b2-eb44-08de4efb8617</t>
  </si>
  <si>
    <t>legend 109</t>
  </si>
  <si>
    <t>https://hajj.nusuk.sa/sp/package/summary/f83b0000-7c25-56b2-d98e-08de4ef8350e</t>
  </si>
  <si>
    <t>Park Plaza 108</t>
  </si>
  <si>
    <t>https://hajj.nusuk.sa/sp/package/summary/24600000-1777-56b2-28d5-08de4ee05906</t>
  </si>
  <si>
    <t>Emaar Elite Almadinah</t>
  </si>
  <si>
    <t>Madinah</t>
  </si>
  <si>
    <t>AL Dana millennium 123</t>
  </si>
  <si>
    <t>https://hajj.nusuk.sa/sp/package/summary/a0e20000-1777-56b2-bfb5-08de4d6cd1f0</t>
  </si>
  <si>
    <t>Taiba Front Hotel</t>
  </si>
  <si>
    <t>Holiday Inn 127</t>
  </si>
  <si>
    <t>https://hajj.nusuk.sa/sp/package/summary/cca90000-66ae-56b2-a398-08de521bb891</t>
  </si>
  <si>
    <t>https://hajj.nusuk.sa/sp/package/summary/18150000-befd-56b2-fe03-08de53990089</t>
  </si>
  <si>
    <t>Madinah Hilton</t>
  </si>
  <si>
    <t>Hyatt Regency 306 (Triple Standard)</t>
  </si>
  <si>
    <t>SID Luxury Shifting 302</t>
  </si>
  <si>
    <t>https://hajj.nusuk.sa/sp/package/summary/a0e20000-1777-56b2-e923-08de4defaa40</t>
  </si>
  <si>
    <t>Emaar Royal</t>
  </si>
  <si>
    <t xml:space="preserve"> Swiss AlMaqam 303</t>
  </si>
  <si>
    <t>https://hajj.nusuk.sa/sp/package/summary/f8a30000-7c25-56b2-e15e-08de4e9b50f9</t>
  </si>
  <si>
    <t xml:space="preserve"> SID Anjum 204</t>
  </si>
  <si>
    <t>https://hajj.nusuk.sa/sp/package/summary/58260000-1777-56b2-abf4-08de4eb904a3</t>
  </si>
  <si>
    <t>Paris (CDG)</t>
  </si>
  <si>
    <t>Provider</t>
  </si>
  <si>
    <t>PackageName</t>
  </si>
  <si>
    <t>PackageLink</t>
  </si>
  <si>
    <t>StartDate</t>
  </si>
  <si>
    <t>EndDate</t>
  </si>
  <si>
    <t>DurationDays</t>
  </si>
  <si>
    <t>FirstCity</t>
  </si>
  <si>
    <t>IsShifting</t>
  </si>
  <si>
    <t>MakkahZone</t>
  </si>
  <si>
    <t>MinaCamp</t>
  </si>
  <si>
    <t>BasePriceSAR</t>
  </si>
  <si>
    <t>MadinahHotel</t>
  </si>
  <si>
    <t>MadinahCheckIn</t>
  </si>
  <si>
    <t>MakkahHotel</t>
  </si>
  <si>
    <t>MakkahCheckIn</t>
  </si>
  <si>
    <t>AziziyaHotel</t>
  </si>
  <si>
    <t>AziziyaCheckIn</t>
  </si>
  <si>
    <t>DoubleUpgradeMakkah</t>
  </si>
  <si>
    <t>TripleUpgradeMakkah</t>
  </si>
  <si>
    <t>DoubleUpgradeMadinah</t>
  </si>
  <si>
    <t>TripleUpgradeMadinah</t>
  </si>
  <si>
    <t>DoubleUpgradeAziziya</t>
  </si>
  <si>
    <t>TripleUpgradeAziziya</t>
  </si>
  <si>
    <t>FlightGateway</t>
  </si>
  <si>
    <t>FlightPriceSAR</t>
  </si>
  <si>
    <t>Rawaf Mina</t>
  </si>
  <si>
    <t>102 Tilal Express</t>
  </si>
  <si>
    <t>308 Novotel Express (Triple Standard)</t>
  </si>
  <si>
    <t>161 Marriott 5 Star</t>
  </si>
  <si>
    <t>162 Tilal 5 Star</t>
  </si>
  <si>
    <t>SID Anjum 204</t>
  </si>
  <si>
    <t>SID Luxury Anjum 404</t>
  </si>
  <si>
    <t>Swiss AlMaqam 303</t>
  </si>
  <si>
    <t>573 Osturat</t>
  </si>
  <si>
    <t>B5600</t>
  </si>
  <si>
    <t>B5500</t>
  </si>
  <si>
    <t>521 Osturat</t>
  </si>
  <si>
    <t>202 Tilal 5 Star</t>
  </si>
  <si>
    <t>304 Novotel 4 STAR</t>
  </si>
  <si>
    <t>RAWAF 301 MILLENIUM 4 STAR</t>
  </si>
  <si>
    <t>507 Shuroq</t>
  </si>
  <si>
    <t>RAWAF 509 EHSAN</t>
  </si>
  <si>
    <t>201 Marriott 5</t>
  </si>
  <si>
    <t>301 Millennium 4</t>
  </si>
  <si>
    <t>A5600</t>
  </si>
  <si>
    <t>404 Marriott 5 Star</t>
  </si>
  <si>
    <t>RAWAF 520 OSTURAT</t>
  </si>
  <si>
    <t>511 Aziziah</t>
  </si>
  <si>
    <t>403 Tilal 5 Star</t>
  </si>
  <si>
    <t>518 International</t>
  </si>
  <si>
    <t>A5900</t>
  </si>
  <si>
    <t>Standard Alsafa</t>
  </si>
  <si>
    <t>506 Shuroq</t>
  </si>
  <si>
    <t>Anjum 307</t>
  </si>
  <si>
    <t>Standard Makkah</t>
  </si>
  <si>
    <t>Standard AL HARAM</t>
  </si>
  <si>
    <t>Standard Al hijra</t>
  </si>
  <si>
    <t>Standard Alrawda</t>
  </si>
  <si>
    <t>Standard Alresala</t>
  </si>
  <si>
    <t>Standard taibah</t>
  </si>
  <si>
    <t>https://hajj.nusuk.sa/sp/package/summary/54b70000-7c25-56b2-119c-08de4bca12d0</t>
  </si>
  <si>
    <t>https://hajj.nusuk.sa/sp/package/summary/f8a30000-7c25-56b2-83ee-08de4ed46b78</t>
  </si>
  <si>
    <t>https://hajj.nusuk.sa/sp/package/summary/746c0000-66ae-56b2-2863-08de4bd0e1d6</t>
  </si>
  <si>
    <t>https://hajj.nusuk.sa/sp/package/summary/f83b0000-7c25-56b2-1a45-08de4ee17f10</t>
  </si>
  <si>
    <t>https://hajj.nusuk.sa/sp/package/summary/04a60000-befd-56b2-be0d-08de4e9b8ac9</t>
  </si>
  <si>
    <t>https://hajj.nusuk.sa/sp/package/summary/58260000-1777-56b2-ef9b-08de4ea084c2</t>
  </si>
  <si>
    <t>https://hajj.nusuk.sa/sp/package/summary/fc7c0000-7c25-56b2-dae4-08de4d39360a</t>
  </si>
  <si>
    <t>https://hajj.nusuk.sa/sp/package/summary/b09a0000-1777-56b2-d038-08de4d3a935a</t>
  </si>
  <si>
    <t>https://hajj.nusuk.sa/sp/package/summary/f83b0000-7c25-56b2-c771-08de4f0997d8</t>
  </si>
  <si>
    <t>https://hajj.nusuk.sa/sp/package/summary/64310000-befd-56b2-16f1-08de4bed0f4c</t>
  </si>
  <si>
    <t>https://hajj.nusuk.sa/sp/package/summary/f8c50000-7c25-56b2-38f8-08de4c8048f1</t>
  </si>
  <si>
    <t>https://hajj.nusuk.sa/sp/package/summary/54b70000-7c25-56b2-f44a-08de4bc3bf97</t>
  </si>
  <si>
    <t>https://hajj.nusuk.sa/sp/package/summary/9c790000-66ae-56b2-b920-08de4f974263</t>
  </si>
  <si>
    <t>https://hajj.nusuk.sa/sp/package/summary/24600000-1777-56b2-cf9e-08de4eeb68b6</t>
  </si>
  <si>
    <t>https://hajj.nusuk.sa/sp/package/summary/fc7c0000-7c25-56b2-d367-08de4d3c1701</t>
  </si>
  <si>
    <t>https://hajj.nusuk.sa/sp/package/summary/b09a0000-1777-56b2-a686-08de4c89c19d</t>
  </si>
  <si>
    <t>https://hajj.nusuk.sa/sp/package/summary/f83b0000-7c25-56b2-1a80-08de4f07c79d</t>
  </si>
  <si>
    <t>https://hajj.nusuk.sa/sp/package/summary/9c790000-66ae-56b2-4124-08de4ef08f67</t>
  </si>
  <si>
    <t>https://hajj.nusuk.sa/sp/package/summary/ac910000-66ae-56b2-3d21-08de4c865dae</t>
  </si>
  <si>
    <t>https://hajj.nusuk.sa/sp/package/summary/94500000-fbb1-56b2-ad0a-08de59bfcb54</t>
  </si>
  <si>
    <t>https://hajj.nusuk.sa/sp/package/summary/b09a0000-1777-56b2-ed9b-08de4d3e229a</t>
  </si>
  <si>
    <t>https://hajj.nusuk.sa/sp/package/summary/80050000-53a9-56b2-88e9-08de580fcbdc</t>
  </si>
  <si>
    <t>https://hajj.nusuk.sa/sp/package/summary/84800000-befd-56b2-607c-08de4f95ac4c</t>
  </si>
  <si>
    <t>https://hajj.nusuk.sa/sp/package/summary/bc350000-7c25-56b2-0ed3-08de591ce9a9</t>
  </si>
  <si>
    <t>https://hajj.nusuk.sa/sp/package/summary/183d0000-1777-56b2-ca6c-08de5816985f</t>
  </si>
  <si>
    <t>https://hajj.nusuk.sa/sp/package/summary/2c180000-fe14-56b2-399c-08de581afce6</t>
  </si>
  <si>
    <t>https://hajj.nusuk.sa/sp/package/summary/c42c0000-66ae-56b2-1a33-08de58175905</t>
  </si>
  <si>
    <t>https://hajj.nusuk.sa/sp/package/summary/84180000-fc4c-56b2-1e21-08de581a8f88</t>
  </si>
  <si>
    <t>https://hajj.nusuk.sa/sp/package/summary/9c060000-7c25-56b2-346b-08de58197326</t>
  </si>
  <si>
    <t>https://hajj.nusuk.sa/sp/package/summary/d83d0000-1777-56b2-b76b-08de58185b61</t>
  </si>
  <si>
    <t>Tilal Jabal Al Kaaba</t>
  </si>
  <si>
    <t>Tulip Inn Aldar Hotel</t>
  </si>
  <si>
    <t>Novotel Thakher</t>
  </si>
  <si>
    <t>non-shifting</t>
  </si>
  <si>
    <t>Maysan Al Harithia Hotel</t>
  </si>
  <si>
    <t>Jabal Omar Marriott</t>
  </si>
  <si>
    <t>Osturat Emaar Hotel</t>
  </si>
  <si>
    <t>Mysk Al Balad Rawafed</t>
  </si>
  <si>
    <t>Aleasyi Hospitality Ltd</t>
  </si>
  <si>
    <t>Millennium Mal Dana Hotel</t>
  </si>
  <si>
    <t>Dar Al Shuroq Hotel</t>
  </si>
  <si>
    <t>Assaafa Hotel</t>
  </si>
  <si>
    <t>Mwasim Al Ehsan Hotel</t>
  </si>
  <si>
    <t>Nassmat Aljoury Hotel</t>
  </si>
  <si>
    <t>Mysk Touch Albalad Hotel</t>
  </si>
  <si>
    <t>Osturat Hotel</t>
  </si>
  <si>
    <t>Rafahya Hotel Ethnan</t>
  </si>
  <si>
    <t>Emaar International</t>
  </si>
  <si>
    <t>Rehana AlMashaaer</t>
  </si>
  <si>
    <t>Sky View</t>
  </si>
  <si>
    <t>London (LGW)</t>
  </si>
  <si>
    <t>Birmingham (BHX)</t>
  </si>
  <si>
    <t>Spain (Barcelona)</t>
  </si>
  <si>
    <t>Shifting</t>
  </si>
  <si>
    <t>Al Rajhi</t>
  </si>
  <si>
    <t>Standard 2</t>
  </si>
  <si>
    <t>Luxury 2</t>
  </si>
  <si>
    <t>Premium 1</t>
  </si>
  <si>
    <t>https://hajj.nusuk.sa/sp/package/summary/d81e0000-7c25-56b2-ca51-08de5847c84a</t>
  </si>
  <si>
    <t>https://hajj.nusuk.sa/sp/package/summary/fc7c0000-7c25-56b2-c6d7-08de4c91a4eb</t>
  </si>
  <si>
    <t>https://hajj.nusuk.sa/sp/package/summary/74170000-fe14-56b2-b038-08de584321d6</t>
  </si>
  <si>
    <t>Mahd AlRisala Hotel</t>
  </si>
  <si>
    <t>Maden Taiba Hotel</t>
  </si>
  <si>
    <t>Jabal Omar Hilton Suites Makkah</t>
  </si>
  <si>
    <t>Valy Almadinah Hotel</t>
  </si>
  <si>
    <t>Custom</t>
  </si>
  <si>
    <t>Paris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</si>
</sst>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SAR]\ #,##0.00"/>
    <numFmt numFmtId="165" formatCode="dd/mm"/>
  </numFmts>
  <fonts count="7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10"/>
      <name val="Calibri"/>
      <family val="2"/>
    </font>
    <font>
      <sz val="10"/>
      <name val="Calibri"/>
      <family val="2"/>
    </font>
    <font>
      <i/>
      <sz val="10"/>
      <name val="Calibri"/>
      <family val="2"/>
    </font>
    <font>
      <i/>
      <u/>
      <sz val="12"/>
      <name val="Aptos Narrow"/>
      <family val="2"/>
      <scheme val="minor"/>
    </font>
    <font>
      <u/>
      <sz val="12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1">
    <xf numFmtId="0" fontId="0" fillId="0" borderId="0" xfId="0"/>
    <xf numFmtId="0" fontId="3" fillId="0" borderId="0" xfId="0" applyFont="1" applyAlignment="1">
      <alignment horizontal="left" vertical="center" textRotation="90"/>
    </xf>
    <xf numFmtId="0" fontId="2" fillId="0" borderId="0" xfId="0" applyFont="1" applyAlignment="1">
      <alignment horizontal="left" vertical="center" textRotation="90"/>
    </xf>
    <xf numFmtId="16" fontId="2" fillId="0" borderId="0" xfId="0" applyNumberFormat="1" applyFont="1" applyAlignment="1">
      <alignment horizontal="left" vertical="center" textRotation="90"/>
    </xf>
    <xf numFmtId="164" fontId="2" fillId="0" borderId="0" xfId="0" applyNumberFormat="1" applyFont="1" applyAlignment="1">
      <alignment horizontal="left" vertical="center" textRotation="90"/>
    </xf>
    <xf numFmtId="164" fontId="2" fillId="0" borderId="1" xfId="0" applyNumberFormat="1" applyFont="1" applyBorder="1" applyAlignment="1">
      <alignment horizontal="left" vertical="center" textRotation="90"/>
    </xf>
    <xf numFmtId="164" fontId="2" fillId="0" borderId="2" xfId="0" applyNumberFormat="1" applyFont="1" applyBorder="1" applyAlignment="1">
      <alignment horizontal="left" vertical="center" textRotation="90"/>
    </xf>
    <xf numFmtId="0" fontId="4" fillId="0" borderId="0" xfId="0" applyFont="1" applyAlignment="1">
      <alignment horizontal="left" vertical="center" textRotation="90"/>
    </xf>
    <xf numFmtId="0" fontId="3" fillId="0" borderId="0" xfId="0" applyFont="1"/>
    <xf numFmtId="0" fontId="3" fillId="0" borderId="0" xfId="0" applyFont="1" applyAlignment="1">
      <alignment horizontal="center" vertical="center"/>
    </xf>
    <xf numFmtId="16" fontId="3" fillId="0" borderId="0" xfId="0" applyNumberFormat="1" applyFont="1"/>
    <xf numFmtId="164" fontId="3" fillId="0" borderId="0" xfId="0" applyNumberFormat="1" applyFont="1"/>
    <xf numFmtId="164" fontId="3" fillId="0" borderId="0" xfId="0" applyNumberFormat="1" applyFont="1" applyAlignment="1">
      <alignment horizontal="center" vertical="center"/>
    </xf>
    <xf numFmtId="164" fontId="3" fillId="0" borderId="1" xfId="0" applyNumberFormat="1" applyFont="1" applyBorder="1"/>
    <xf numFmtId="164" fontId="3" fillId="0" borderId="2" xfId="0" applyNumberFormat="1" applyFont="1" applyBorder="1"/>
    <xf numFmtId="0" fontId="5" fillId="0" borderId="0" xfId="1" applyFont="1" applyFill="1" applyBorder="1"/>
    <xf numFmtId="0" fontId="6" fillId="0" borderId="0" xfId="1" applyFont="1" applyFill="1"/>
    <xf numFmtId="0" fontId="4" fillId="0" borderId="0" xfId="0" applyFont="1"/>
    <xf numFmtId="0" fontId="6" fillId="0" borderId="0" xfId="1" applyFont="1" applyFill="1" applyBorder="1"/>
    <xf numFmtId="16" fontId="3" fillId="0" borderId="0" xfId="0" applyNumberFormat="1" applyFont="1" applyAlignment="1">
      <alignment horizontal="right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justify" vertical="center" wrapText="1"/>
    </xf>
    <xf numFmtId="16" fontId="3" fillId="0" borderId="0" xfId="0" applyNumberFormat="1" applyFont="1" applyAlignment="1">
      <alignment horizontal="center" vertical="center"/>
    </xf>
    <xf numFmtId="165" fontId="0" fillId="0" borderId="0" xfId="0" applyNumberFormat="1"/>
    <xf numFmtId="0" fontId="6" fillId="0" borderId="0" xfId="1" applyFont="1"/>
    <xf numFmtId="0" fontId="6" fillId="0" borderId="0" xfId="1" applyFont="1" applyBorder="1"/>
    <xf numFmtId="0" fontId="5" fillId="0" borderId="0" xfId="1" applyFont="1" applyBorder="1"/>
    <xf numFmtId="164" fontId="3" fillId="2" borderId="0" xfId="0" applyNumberFormat="1" applyFont="1" applyFill="1"/>
    <xf numFmtId="164" fontId="0" fillId="0" borderId="0" xfId="0" applyNumberFormat="1"/>
    <xf numFmtId="164" fontId="0" fillId="0" borderId="0" xfId="0" applyNumberFormat="1" applyAlignment="1">
      <alignment horizontal="right" vertical="center"/>
    </xf>
    <xf numFmtId="0" fontId="2" fillId="0" borderId="0" xfId="0" applyFont="1"/>
  </cellXfs>
  <cellStyles count="2">
    <cellStyle name="Hyperlink" xfId="1" builtinId="8"/>
    <cellStyle name="Normal" xfId="0" builtinId="0"/>
  </cellStyles>
  <dxfs count="15">
    <dxf>
      <font>
        <color rgb="FF006100"/>
      </font>
      <fill>
        <patternFill>
          <bgColor rgb="FFC6EFCE"/>
        </patternFill>
      </fill>
    </dxf>
    <dxf>
      <font>
        <color rgb="FF0070C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colors>
    <mruColors>
      <color rgb="FFFFF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hajj.nusuk.sa/sp/package/summary/685d0000-66ae-56b2-aef2-08de4ea3932f" TargetMode="External"/><Relationship Id="rId18" Type="http://schemas.openxmlformats.org/officeDocument/2006/relationships/hyperlink" Target="https://hajj.nusuk.sa/sp/package/summary/f0c00000-1777-56b2-b2ac-08de4bb0578d" TargetMode="External"/><Relationship Id="rId26" Type="http://schemas.openxmlformats.org/officeDocument/2006/relationships/hyperlink" Target="https://hajj.nusuk.sa/sp/package/summary/b0690000-1777-56b2-2d0d-08de50879299" TargetMode="External"/><Relationship Id="rId39" Type="http://schemas.openxmlformats.org/officeDocument/2006/relationships/hyperlink" Target="https://hajj.nusuk.sa/sp/package/summary/f81a0000-66ae-56b2-f62f-08de4d673bd0" TargetMode="External"/><Relationship Id="rId21" Type="http://schemas.openxmlformats.org/officeDocument/2006/relationships/hyperlink" Target="https://hajj.nusuk.sa/sp/package/summary/80050000-53a9-56b2-fd20-08de5817bda3" TargetMode="External"/><Relationship Id="rId34" Type="http://schemas.openxmlformats.org/officeDocument/2006/relationships/hyperlink" Target="https://hajj.nusuk.sa/sp/package/summary/04830000-7c25-56b2-f44f-08de510fc446" TargetMode="External"/><Relationship Id="rId42" Type="http://schemas.openxmlformats.org/officeDocument/2006/relationships/hyperlink" Target="https://hajj.nusuk.sa/sp/package/summary/84800000-befd-56b2-2128-08de4ef9dde3" TargetMode="External"/><Relationship Id="rId47" Type="http://schemas.openxmlformats.org/officeDocument/2006/relationships/hyperlink" Target="https://hajj.nusuk.sa/sp/package/summary/58260000-1777-56b2-5fed-08de4ed77a7a" TargetMode="External"/><Relationship Id="rId50" Type="http://schemas.openxmlformats.org/officeDocument/2006/relationships/hyperlink" Target="https://hajj.nusuk.sa/sp/package/summary/a0e20000-1777-56b2-7db1-08de4ddb01b0" TargetMode="External"/><Relationship Id="rId55" Type="http://schemas.openxmlformats.org/officeDocument/2006/relationships/hyperlink" Target="https://hajj.nusuk.sa/sp/package/summary/cca90000-66ae-56b2-a398-08de521bb891" TargetMode="External"/><Relationship Id="rId7" Type="http://schemas.openxmlformats.org/officeDocument/2006/relationships/hyperlink" Target="https://hajj.nusuk.sa/sp/package/summary/f0450000-befd-56b2-32a6-08de4d3abe40" TargetMode="External"/><Relationship Id="rId2" Type="http://schemas.openxmlformats.org/officeDocument/2006/relationships/hyperlink" Target="https://hajj.nusuk.sa/sp/package/summary/58260000-1777-56b2-9edc-08de4ea8527f" TargetMode="External"/><Relationship Id="rId16" Type="http://schemas.openxmlformats.org/officeDocument/2006/relationships/hyperlink" Target="https://hajj.nusuk.sa/sp/package/summary/746c0000-66ae-56b2-e7c7-08de4bc21787" TargetMode="External"/><Relationship Id="rId29" Type="http://schemas.openxmlformats.org/officeDocument/2006/relationships/hyperlink" Target="https://hajj.nusuk.sa/sp/package/summary/04830000-7c25-56b2-3656-08de51079256" TargetMode="External"/><Relationship Id="rId11" Type="http://schemas.openxmlformats.org/officeDocument/2006/relationships/hyperlink" Target="https://hajj.nusuk.sa/sp/package/summary/f8a30000-7c25-56b2-2f47-08de4e9f6d5b" TargetMode="External"/><Relationship Id="rId24" Type="http://schemas.openxmlformats.org/officeDocument/2006/relationships/hyperlink" Target="https://hajj.nusuk.sa/sp/package/summary/64310000-befd-56b2-5e3b-08de4ba5c541" TargetMode="External"/><Relationship Id="rId32" Type="http://schemas.openxmlformats.org/officeDocument/2006/relationships/hyperlink" Target="https://hajj.nusuk.sa/sp/package/summary/04a60000-befd-56b2-e65b-08de4e0f9a00" TargetMode="External"/><Relationship Id="rId37" Type="http://schemas.openxmlformats.org/officeDocument/2006/relationships/hyperlink" Target="https://hajj.nusuk.sa/sp/package/summary/54b70000-7c25-56b2-5900-08de4c65745e" TargetMode="External"/><Relationship Id="rId40" Type="http://schemas.openxmlformats.org/officeDocument/2006/relationships/hyperlink" Target="https://hajj.nusuk.sa/sp/package/summary/fc7c0000-7c25-56b2-a4d4-08de4d50f3c5" TargetMode="External"/><Relationship Id="rId45" Type="http://schemas.openxmlformats.org/officeDocument/2006/relationships/hyperlink" Target="https://hajj.nusuk.sa/sp/package/summary/44ad0000-7c25-56b2-07c5-08de542d88a2" TargetMode="External"/><Relationship Id="rId53" Type="http://schemas.openxmlformats.org/officeDocument/2006/relationships/hyperlink" Target="https://hajj.nusuk.sa/sp/package/summary/24600000-1777-56b2-28d5-08de4ee05906" TargetMode="External"/><Relationship Id="rId58" Type="http://schemas.openxmlformats.org/officeDocument/2006/relationships/hyperlink" Target="https://hajj.nusuk.sa/sp/package/summary/f8a30000-7c25-56b2-e15e-08de4e9b50f9" TargetMode="External"/><Relationship Id="rId5" Type="http://schemas.openxmlformats.org/officeDocument/2006/relationships/hyperlink" Target="https://hajj.nusuk.sa/sp/package/summary/9c490000-befd-56b2-4b7f-08de4de870d9" TargetMode="External"/><Relationship Id="rId19" Type="http://schemas.openxmlformats.org/officeDocument/2006/relationships/hyperlink" Target="https://hajj.nusuk.sa/sp/package/summary/04830000-7c25-56b2-7870-08de513382d3" TargetMode="External"/><Relationship Id="rId4" Type="http://schemas.openxmlformats.org/officeDocument/2006/relationships/hyperlink" Target="https://hajj.nusuk.sa/sp/package/summary/9c790000-66ae-56b2-7568-08de4ef8020d" TargetMode="External"/><Relationship Id="rId9" Type="http://schemas.openxmlformats.org/officeDocument/2006/relationships/hyperlink" Target="https://hajj.nusuk.sa/sp/package/summary/685d0000-66ae-56b2-3949-08de4ec70221" TargetMode="External"/><Relationship Id="rId14" Type="http://schemas.openxmlformats.org/officeDocument/2006/relationships/hyperlink" Target="https://hajj.nusuk.sa/sp/package/summary/58260000-1777-56b2-f27e-08de4e261a1c" TargetMode="External"/><Relationship Id="rId22" Type="http://schemas.openxmlformats.org/officeDocument/2006/relationships/hyperlink" Target="https://hajj.nusuk.sa/sp/package/summary/c42c0000-66ae-56b2-0677-08de58057cdc" TargetMode="External"/><Relationship Id="rId27" Type="http://schemas.openxmlformats.org/officeDocument/2006/relationships/hyperlink" Target="https://hajj.nusuk.sa/sp/package/summary/fc7c0000-7c25-56b2-8a5e-08de4d5dabb6" TargetMode="External"/><Relationship Id="rId30" Type="http://schemas.openxmlformats.org/officeDocument/2006/relationships/hyperlink" Target="https://hajj.nusuk.sa/sp/package/summary/04a60000-befd-56b2-1c90-08de4e183bd7" TargetMode="External"/><Relationship Id="rId35" Type="http://schemas.openxmlformats.org/officeDocument/2006/relationships/hyperlink" Target="https://hajj.nusuk.sa/sp/package/summary/e4790000-befd-56b2-66f5-08de5109bdcc" TargetMode="External"/><Relationship Id="rId43" Type="http://schemas.openxmlformats.org/officeDocument/2006/relationships/hyperlink" Target="https://hajj.nusuk.sa/sp/package/summary/24600000-1777-56b2-4ebc-08de4f01f8b9" TargetMode="External"/><Relationship Id="rId48" Type="http://schemas.openxmlformats.org/officeDocument/2006/relationships/hyperlink" Target="https://hajj.nusuk.sa/sp/package/summary/cca90000-66ae-56b2-bae7-08de51f88e9a" TargetMode="External"/><Relationship Id="rId56" Type="http://schemas.openxmlformats.org/officeDocument/2006/relationships/hyperlink" Target="https://hajj.nusuk.sa/sp/package/summary/18150000-befd-56b2-fe03-08de53990089" TargetMode="External"/><Relationship Id="rId8" Type="http://schemas.openxmlformats.org/officeDocument/2006/relationships/hyperlink" Target="https://hajj.nusuk.sa/sp/package/summary/f8a30000-7c25-56b2-be8f-08de4e96d643" TargetMode="External"/><Relationship Id="rId51" Type="http://schemas.openxmlformats.org/officeDocument/2006/relationships/hyperlink" Target="https://hajj.nusuk.sa/sp/package/summary/f83b0000-7c25-56b2-eb44-08de4efb8617" TargetMode="External"/><Relationship Id="rId3" Type="http://schemas.openxmlformats.org/officeDocument/2006/relationships/hyperlink" Target="https://hajj.nusuk.sa/sp/package/summary/685d0000-66ae-56b2-3949-08de4ec70221" TargetMode="External"/><Relationship Id="rId12" Type="http://schemas.openxmlformats.org/officeDocument/2006/relationships/hyperlink" Target="https://hajj.nusuk.sa/sp/package/summary/58260000-1777-56b2-6b10-08de4e9a3f2c" TargetMode="External"/><Relationship Id="rId17" Type="http://schemas.openxmlformats.org/officeDocument/2006/relationships/hyperlink" Target="https://hajj.nusuk.sa/sp/package/summary/f0c00000-1777-56b2-b2ac-08de4bb0578d" TargetMode="External"/><Relationship Id="rId25" Type="http://schemas.openxmlformats.org/officeDocument/2006/relationships/hyperlink" Target="https://hajj.nusuk.sa/sp/package/summary/64310000-befd-56b2-5e3b-08de4ba5c541" TargetMode="External"/><Relationship Id="rId33" Type="http://schemas.openxmlformats.org/officeDocument/2006/relationships/hyperlink" Target="https://hajj.nusuk.sa/sp/package/summary/04a60000-befd-56b2-80f1-08de4e31e887" TargetMode="External"/><Relationship Id="rId38" Type="http://schemas.openxmlformats.org/officeDocument/2006/relationships/hyperlink" Target="https://hajj.nusuk.sa/sp/package/summary/54b70000-7c25-56b2-d56d-08de4c67cc5a" TargetMode="External"/><Relationship Id="rId46" Type="http://schemas.openxmlformats.org/officeDocument/2006/relationships/hyperlink" Target="https://hajj.nusuk.sa/sp/package/summary/ac910000-66ae-56b2-506e-08de4c81eb01" TargetMode="External"/><Relationship Id="rId59" Type="http://schemas.openxmlformats.org/officeDocument/2006/relationships/hyperlink" Target="https://hajj.nusuk.sa/sp/package/summary/58260000-1777-56b2-abf4-08de4eb904a3" TargetMode="External"/><Relationship Id="rId20" Type="http://schemas.openxmlformats.org/officeDocument/2006/relationships/hyperlink" Target="https://hajj.nusuk.sa/sp/package/summary/e4790000-befd-56b2-4a18-08de51340686" TargetMode="External"/><Relationship Id="rId41" Type="http://schemas.openxmlformats.org/officeDocument/2006/relationships/hyperlink" Target="https://hajj.nusuk.sa/sp/package/summary/24600000-1777-56b2-3bba-08de4f72c60b" TargetMode="External"/><Relationship Id="rId54" Type="http://schemas.openxmlformats.org/officeDocument/2006/relationships/hyperlink" Target="https://hajj.nusuk.sa/sp/package/summary/a0e20000-1777-56b2-bfb5-08de4d6cd1f0" TargetMode="External"/><Relationship Id="rId1" Type="http://schemas.openxmlformats.org/officeDocument/2006/relationships/hyperlink" Target="https://hajj.nusuk.sa/sp/package/summary/ac910000-66ae-56b2-7160-08de4c7b1c85" TargetMode="External"/><Relationship Id="rId6" Type="http://schemas.openxmlformats.org/officeDocument/2006/relationships/hyperlink" Target="https://hajj.nusuk.sa/sp/package/summary/f0450000-befd-56b2-af61-08de4d3d7e23" TargetMode="External"/><Relationship Id="rId15" Type="http://schemas.openxmlformats.org/officeDocument/2006/relationships/hyperlink" Target="https://hajj.nusuk.sa/sp/package/summary/746c0000-66ae-56b2-e7c7-08de4bc21787" TargetMode="External"/><Relationship Id="rId23" Type="http://schemas.openxmlformats.org/officeDocument/2006/relationships/hyperlink" Target="https://hajj.nusuk.sa/sp/package/summary/183d0000-1777-56b2-ec76-08de5818e6c4" TargetMode="External"/><Relationship Id="rId28" Type="http://schemas.openxmlformats.org/officeDocument/2006/relationships/hyperlink" Target="https://hajj.nusuk.sa/sp/package/summary/685d0000-66ae-56b2-3376-08de4df5d7c4" TargetMode="External"/><Relationship Id="rId36" Type="http://schemas.openxmlformats.org/officeDocument/2006/relationships/hyperlink" Target="https://hajj.nusuk.sa/sp/package/summary/74d80000-1777-56b2-1ed1-08de50f82d1d" TargetMode="External"/><Relationship Id="rId49" Type="http://schemas.openxmlformats.org/officeDocument/2006/relationships/hyperlink" Target="https://hajj.nusuk.sa/sp/package/summary/9c790000-66ae-56b2-0abf-08de4f7f2191" TargetMode="External"/><Relationship Id="rId57" Type="http://schemas.openxmlformats.org/officeDocument/2006/relationships/hyperlink" Target="https://hajj.nusuk.sa/sp/package/summary/a0e20000-1777-56b2-e923-08de4defaa40" TargetMode="External"/><Relationship Id="rId10" Type="http://schemas.openxmlformats.org/officeDocument/2006/relationships/hyperlink" Target="https://hajj.nusuk.sa/sp/package/summary/58260000-1777-56b2-0845-08de4ed9b2d0" TargetMode="External"/><Relationship Id="rId31" Type="http://schemas.openxmlformats.org/officeDocument/2006/relationships/hyperlink" Target="https://hajj.nusuk.sa/sp/package/summary/24600000-1777-56b2-224d-08de4eec5fd8" TargetMode="External"/><Relationship Id="rId44" Type="http://schemas.openxmlformats.org/officeDocument/2006/relationships/hyperlink" Target="https://hajj.nusuk.sa/sp/package/summary/9c790000-66ae-56b2-0534-08de4f178e9e" TargetMode="External"/><Relationship Id="rId52" Type="http://schemas.openxmlformats.org/officeDocument/2006/relationships/hyperlink" Target="https://hajj.nusuk.sa/sp/package/summary/f83b0000-7c25-56b2-d98e-08de4ef8350e" TargetMode="External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https://hajj.nusuk.sa/sp/package/summary/58260000-1777-56b2-6b10-08de4e9a3f2c" TargetMode="External"/><Relationship Id="rId21" Type="http://schemas.openxmlformats.org/officeDocument/2006/relationships/hyperlink" Target="https://hajj.nusuk.sa/sp/package/summary/f8a30000-7c25-56b2-be8f-08de4e96d643" TargetMode="External"/><Relationship Id="rId42" Type="http://schemas.openxmlformats.org/officeDocument/2006/relationships/hyperlink" Target="https://hajj.nusuk.sa/sp/package/summary/fc7c0000-7c25-56b2-8a5e-08de4d5dabb6" TargetMode="External"/><Relationship Id="rId47" Type="http://schemas.openxmlformats.org/officeDocument/2006/relationships/hyperlink" Target="https://hajj.nusuk.sa/sp/package/summary/04a60000-befd-56b2-e65b-08de4e0f9a00" TargetMode="External"/><Relationship Id="rId63" Type="http://schemas.openxmlformats.org/officeDocument/2006/relationships/hyperlink" Target="https://hajj.nusuk.sa/sp/package/summary/cca90000-66ae-56b2-bae7-08de51f88e9a" TargetMode="External"/><Relationship Id="rId68" Type="http://schemas.openxmlformats.org/officeDocument/2006/relationships/hyperlink" Target="https://hajj.nusuk.sa/sp/package/summary/24600000-1777-56b2-28d5-08de4ee05906" TargetMode="External"/><Relationship Id="rId84" Type="http://schemas.openxmlformats.org/officeDocument/2006/relationships/hyperlink" Target="https://hajj.nusuk.sa/sp/package/summary/2c180000-fe14-56b2-399c-08de581afce6" TargetMode="External"/><Relationship Id="rId89" Type="http://schemas.openxmlformats.org/officeDocument/2006/relationships/hyperlink" Target="https://hajj.nusuk.sa/sp/package/summary/d83d0000-1777-56b2-b76b-08de58185b61" TargetMode="External"/><Relationship Id="rId16" Type="http://schemas.openxmlformats.org/officeDocument/2006/relationships/hyperlink" Target="https://hajj.nusuk.sa/sp/package/summary/9c790000-66ae-56b2-7568-08de4ef8020d" TargetMode="External"/><Relationship Id="rId11" Type="http://schemas.openxmlformats.org/officeDocument/2006/relationships/hyperlink" Target="https://hajj.nusuk.sa/sp/package/summary/f83b0000-7c25-56b2-c771-08de4f0997d8" TargetMode="External"/><Relationship Id="rId32" Type="http://schemas.openxmlformats.org/officeDocument/2006/relationships/hyperlink" Target="https://hajj.nusuk.sa/sp/package/summary/24600000-1777-56b2-224d-08de4eec5fd8" TargetMode="External"/><Relationship Id="rId37" Type="http://schemas.openxmlformats.org/officeDocument/2006/relationships/hyperlink" Target="https://hajj.nusuk.sa/sp/package/summary/b09a0000-1777-56b2-ed9b-08de4d3e229a" TargetMode="External"/><Relationship Id="rId53" Type="http://schemas.openxmlformats.org/officeDocument/2006/relationships/hyperlink" Target="https://hajj.nusuk.sa/sp/package/summary/54b70000-7c25-56b2-d56d-08de4c67cc5a" TargetMode="External"/><Relationship Id="rId58" Type="http://schemas.openxmlformats.org/officeDocument/2006/relationships/hyperlink" Target="https://hajj.nusuk.sa/sp/package/summary/24600000-1777-56b2-4ebc-08de4f01f8b9" TargetMode="External"/><Relationship Id="rId74" Type="http://schemas.openxmlformats.org/officeDocument/2006/relationships/hyperlink" Target="https://hajj.nusuk.sa/sp/package/summary/58260000-1777-56b2-abf4-08de4eb904a3" TargetMode="External"/><Relationship Id="rId79" Type="http://schemas.openxmlformats.org/officeDocument/2006/relationships/hyperlink" Target="https://hajj.nusuk.sa/sp/package/summary/54b70000-7c25-56b2-f44a-08de4bc3bf97" TargetMode="External"/><Relationship Id="rId5" Type="http://schemas.openxmlformats.org/officeDocument/2006/relationships/hyperlink" Target="https://hajj.nusuk.sa/sp/package/summary/b09a0000-1777-56b2-a686-08de4c89c19d" TargetMode="External"/><Relationship Id="rId90" Type="http://schemas.openxmlformats.org/officeDocument/2006/relationships/hyperlink" Target="https://hajj.nusuk.sa/sp/package/summary/f8a30000-7c25-56b2-83ee-08de4ed46b78" TargetMode="External"/><Relationship Id="rId95" Type="http://schemas.openxmlformats.org/officeDocument/2006/relationships/hyperlink" Target="https://hajj.nusuk.sa/sp/package/summary/74170000-fe14-56b2-b038-08de584321d6" TargetMode="External"/><Relationship Id="rId22" Type="http://schemas.openxmlformats.org/officeDocument/2006/relationships/hyperlink" Target="https://hajj.nusuk.sa/sp/package/summary/fc7c0000-7c25-56b2-d367-08de4d3c1701" TargetMode="External"/><Relationship Id="rId27" Type="http://schemas.openxmlformats.org/officeDocument/2006/relationships/hyperlink" Target="https://hajj.nusuk.sa/sp/package/summary/685d0000-66ae-56b2-aef2-08de4ea3932f" TargetMode="External"/><Relationship Id="rId43" Type="http://schemas.openxmlformats.org/officeDocument/2006/relationships/hyperlink" Target="https://hajj.nusuk.sa/sp/package/summary/685d0000-66ae-56b2-3376-08de4df5d7c4" TargetMode="External"/><Relationship Id="rId48" Type="http://schemas.openxmlformats.org/officeDocument/2006/relationships/hyperlink" Target="https://hajj.nusuk.sa/sp/package/summary/04a60000-befd-56b2-80f1-08de4e31e887" TargetMode="External"/><Relationship Id="rId64" Type="http://schemas.openxmlformats.org/officeDocument/2006/relationships/hyperlink" Target="https://hajj.nusuk.sa/sp/package/summary/9c790000-66ae-56b2-0abf-08de4f7f2191" TargetMode="External"/><Relationship Id="rId69" Type="http://schemas.openxmlformats.org/officeDocument/2006/relationships/hyperlink" Target="https://hajj.nusuk.sa/sp/package/summary/a0e20000-1777-56b2-bfb5-08de4d6cd1f0" TargetMode="External"/><Relationship Id="rId8" Type="http://schemas.openxmlformats.org/officeDocument/2006/relationships/hyperlink" Target="https://hajj.nusuk.sa/sp/package/summary/24600000-1777-56b2-cf9e-08de4eeb68b6" TargetMode="External"/><Relationship Id="rId51" Type="http://schemas.openxmlformats.org/officeDocument/2006/relationships/hyperlink" Target="https://hajj.nusuk.sa/sp/package/summary/74d80000-1777-56b2-1ed1-08de50f82d1d" TargetMode="External"/><Relationship Id="rId72" Type="http://schemas.openxmlformats.org/officeDocument/2006/relationships/hyperlink" Target="https://hajj.nusuk.sa/sp/package/summary/a0e20000-1777-56b2-e923-08de4defaa40" TargetMode="External"/><Relationship Id="rId80" Type="http://schemas.openxmlformats.org/officeDocument/2006/relationships/hyperlink" Target="https://hajj.nusuk.sa/sp/package/summary/f8c50000-7c25-56b2-38f8-08de4c8048f1" TargetMode="External"/><Relationship Id="rId85" Type="http://schemas.openxmlformats.org/officeDocument/2006/relationships/hyperlink" Target="https://hajj.nusuk.sa/sp/package/summary/c42c0000-66ae-56b2-1a33-08de58175905" TargetMode="External"/><Relationship Id="rId93" Type="http://schemas.openxmlformats.org/officeDocument/2006/relationships/hyperlink" Target="https://hajj.nusuk.sa/sp/package/summary/d81e0000-7c25-56b2-ca51-08de5847c84a" TargetMode="External"/><Relationship Id="rId3" Type="http://schemas.openxmlformats.org/officeDocument/2006/relationships/hyperlink" Target="https://hajj.nusuk.sa/sp/package/summary/54b70000-7c25-56b2-f44a-08de4bc3bf97" TargetMode="External"/><Relationship Id="rId12" Type="http://schemas.openxmlformats.org/officeDocument/2006/relationships/hyperlink" Target="https://hajj.nusuk.sa/sp/package/summary/58260000-1777-56b2-ef9b-08de4ea084c2" TargetMode="External"/><Relationship Id="rId17" Type="http://schemas.openxmlformats.org/officeDocument/2006/relationships/hyperlink" Target="https://hajj.nusuk.sa/sp/package/summary/9c490000-befd-56b2-4b7f-08de4de870d9" TargetMode="External"/><Relationship Id="rId25" Type="http://schemas.openxmlformats.org/officeDocument/2006/relationships/hyperlink" Target="https://hajj.nusuk.sa/sp/package/summary/f8a30000-7c25-56b2-2f47-08de4e9f6d5b" TargetMode="External"/><Relationship Id="rId33" Type="http://schemas.openxmlformats.org/officeDocument/2006/relationships/hyperlink" Target="https://hajj.nusuk.sa/sp/package/summary/e4790000-befd-56b2-66f5-08de5109bdcc" TargetMode="External"/><Relationship Id="rId38" Type="http://schemas.openxmlformats.org/officeDocument/2006/relationships/hyperlink" Target="https://hajj.nusuk.sa/sp/package/summary/80050000-53a9-56b2-fd20-08de5817bda3" TargetMode="External"/><Relationship Id="rId46" Type="http://schemas.openxmlformats.org/officeDocument/2006/relationships/hyperlink" Target="https://hajj.nusuk.sa/sp/package/summary/24600000-1777-56b2-224d-08de4eec5fd8" TargetMode="External"/><Relationship Id="rId59" Type="http://schemas.openxmlformats.org/officeDocument/2006/relationships/hyperlink" Target="https://hajj.nusuk.sa/sp/package/summary/9c790000-66ae-56b2-0534-08de4f178e9e" TargetMode="External"/><Relationship Id="rId67" Type="http://schemas.openxmlformats.org/officeDocument/2006/relationships/hyperlink" Target="https://hajj.nusuk.sa/sp/package/summary/f83b0000-7c25-56b2-d98e-08de4ef8350e" TargetMode="External"/><Relationship Id="rId20" Type="http://schemas.openxmlformats.org/officeDocument/2006/relationships/hyperlink" Target="https://hajj.nusuk.sa/sp/package/summary/f0450000-befd-56b2-32a6-08de4d3abe40" TargetMode="External"/><Relationship Id="rId41" Type="http://schemas.openxmlformats.org/officeDocument/2006/relationships/hyperlink" Target="https://hajj.nusuk.sa/sp/package/summary/b0690000-1777-56b2-2d0d-08de50879299" TargetMode="External"/><Relationship Id="rId54" Type="http://schemas.openxmlformats.org/officeDocument/2006/relationships/hyperlink" Target="https://hajj.nusuk.sa/sp/package/summary/f81a0000-66ae-56b2-f62f-08de4d673bd0" TargetMode="External"/><Relationship Id="rId62" Type="http://schemas.openxmlformats.org/officeDocument/2006/relationships/hyperlink" Target="https://hajj.nusuk.sa/sp/package/summary/58260000-1777-56b2-5fed-08de4ed77a7a" TargetMode="External"/><Relationship Id="rId70" Type="http://schemas.openxmlformats.org/officeDocument/2006/relationships/hyperlink" Target="https://hajj.nusuk.sa/sp/package/summary/cca90000-66ae-56b2-a398-08de521bb891" TargetMode="External"/><Relationship Id="rId75" Type="http://schemas.openxmlformats.org/officeDocument/2006/relationships/hyperlink" Target="https://hajj.nusuk.sa/sp/package/summary/04a60000-befd-56b2-be0d-08de4e9b8ac9" TargetMode="External"/><Relationship Id="rId83" Type="http://schemas.openxmlformats.org/officeDocument/2006/relationships/hyperlink" Target="https://hajj.nusuk.sa/sp/package/summary/f0c00000-1777-56b2-b2ac-08de4bb0578d" TargetMode="External"/><Relationship Id="rId88" Type="http://schemas.openxmlformats.org/officeDocument/2006/relationships/hyperlink" Target="https://hajj.nusuk.sa/sp/package/summary/80050000-53a9-56b2-88e9-08de580fcbdc" TargetMode="External"/><Relationship Id="rId91" Type="http://schemas.openxmlformats.org/officeDocument/2006/relationships/hyperlink" Target="https://hajj.nusuk.sa/sp/package/summary/94500000-fbb1-56b2-ad0a-08de59bfcb54" TargetMode="External"/><Relationship Id="rId1" Type="http://schemas.openxmlformats.org/officeDocument/2006/relationships/hyperlink" Target="https://hajj.nusuk.sa/sp/package/summary/ac910000-66ae-56b2-7160-08de4c7b1c85" TargetMode="External"/><Relationship Id="rId6" Type="http://schemas.openxmlformats.org/officeDocument/2006/relationships/hyperlink" Target="https://hajj.nusuk.sa/sp/package/summary/84800000-befd-56b2-607c-08de4f95ac4c" TargetMode="External"/><Relationship Id="rId15" Type="http://schemas.openxmlformats.org/officeDocument/2006/relationships/hyperlink" Target="https://hajj.nusuk.sa/sp/package/summary/685d0000-66ae-56b2-3949-08de4ec70221" TargetMode="External"/><Relationship Id="rId23" Type="http://schemas.openxmlformats.org/officeDocument/2006/relationships/hyperlink" Target="https://hajj.nusuk.sa/sp/package/summary/685d0000-66ae-56b2-3949-08de4ec70221" TargetMode="External"/><Relationship Id="rId28" Type="http://schemas.openxmlformats.org/officeDocument/2006/relationships/hyperlink" Target="https://hajj.nusuk.sa/sp/package/summary/58260000-1777-56b2-f27e-08de4e261a1c" TargetMode="External"/><Relationship Id="rId36" Type="http://schemas.openxmlformats.org/officeDocument/2006/relationships/hyperlink" Target="https://hajj.nusuk.sa/sp/package/summary/fc7c0000-7c25-56b2-dae4-08de4d39360a" TargetMode="External"/><Relationship Id="rId49" Type="http://schemas.openxmlformats.org/officeDocument/2006/relationships/hyperlink" Target="https://hajj.nusuk.sa/sp/package/summary/04830000-7c25-56b2-f44f-08de510fc446" TargetMode="External"/><Relationship Id="rId57" Type="http://schemas.openxmlformats.org/officeDocument/2006/relationships/hyperlink" Target="https://hajj.nusuk.sa/sp/package/summary/84800000-befd-56b2-2128-08de4ef9dde3" TargetMode="External"/><Relationship Id="rId10" Type="http://schemas.openxmlformats.org/officeDocument/2006/relationships/hyperlink" Target="https://hajj.nusuk.sa/sp/package/summary/f83b0000-7c25-56b2-1a80-08de4f07c79d" TargetMode="External"/><Relationship Id="rId31" Type="http://schemas.openxmlformats.org/officeDocument/2006/relationships/hyperlink" Target="https://hajj.nusuk.sa/sp/package/summary/04a60000-befd-56b2-1c90-08de4e183bd7" TargetMode="External"/><Relationship Id="rId44" Type="http://schemas.openxmlformats.org/officeDocument/2006/relationships/hyperlink" Target="https://hajj.nusuk.sa/sp/package/summary/04830000-7c25-56b2-3656-08de51079256" TargetMode="External"/><Relationship Id="rId52" Type="http://schemas.openxmlformats.org/officeDocument/2006/relationships/hyperlink" Target="https://hajj.nusuk.sa/sp/package/summary/54b70000-7c25-56b2-5900-08de4c65745e" TargetMode="External"/><Relationship Id="rId60" Type="http://schemas.openxmlformats.org/officeDocument/2006/relationships/hyperlink" Target="https://hajj.nusuk.sa/sp/package/summary/44ad0000-7c25-56b2-07c5-08de542d88a2" TargetMode="External"/><Relationship Id="rId65" Type="http://schemas.openxmlformats.org/officeDocument/2006/relationships/hyperlink" Target="https://hajj.nusuk.sa/sp/package/summary/a0e20000-1777-56b2-7db1-08de4ddb01b0" TargetMode="External"/><Relationship Id="rId73" Type="http://schemas.openxmlformats.org/officeDocument/2006/relationships/hyperlink" Target="https://hajj.nusuk.sa/sp/package/summary/f8a30000-7c25-56b2-e15e-08de4e9b50f9" TargetMode="External"/><Relationship Id="rId78" Type="http://schemas.openxmlformats.org/officeDocument/2006/relationships/hyperlink" Target="https://hajj.nusuk.sa/sp/package/summary/ac910000-66ae-56b2-7160-08de4c7b1c85" TargetMode="External"/><Relationship Id="rId81" Type="http://schemas.openxmlformats.org/officeDocument/2006/relationships/hyperlink" Target="https://hajj.nusuk.sa/sp/package/summary/746c0000-66ae-56b2-e7c7-08de4bc21787" TargetMode="External"/><Relationship Id="rId86" Type="http://schemas.openxmlformats.org/officeDocument/2006/relationships/hyperlink" Target="https://hajj.nusuk.sa/sp/package/summary/84180000-fc4c-56b2-1e21-08de581a8f88" TargetMode="External"/><Relationship Id="rId94" Type="http://schemas.openxmlformats.org/officeDocument/2006/relationships/hyperlink" Target="https://hajj.nusuk.sa/sp/package/summary/fc7c0000-7c25-56b2-c6d7-08de4c91a4eb" TargetMode="External"/><Relationship Id="rId4" Type="http://schemas.openxmlformats.org/officeDocument/2006/relationships/hyperlink" Target="https://hajj.nusuk.sa/sp/package/summary/ac910000-66ae-56b2-3d21-08de4c865dae" TargetMode="External"/><Relationship Id="rId9" Type="http://schemas.openxmlformats.org/officeDocument/2006/relationships/hyperlink" Target="https://hajj.nusuk.sa/sp/package/summary/9c790000-66ae-56b2-4124-08de4ef08f67" TargetMode="External"/><Relationship Id="rId13" Type="http://schemas.openxmlformats.org/officeDocument/2006/relationships/hyperlink" Target="https://hajj.nusuk.sa/sp/package/summary/f83b0000-7c25-56b2-1a45-08de4ee17f10" TargetMode="External"/><Relationship Id="rId18" Type="http://schemas.openxmlformats.org/officeDocument/2006/relationships/hyperlink" Target="https://hajj.nusuk.sa/sp/package/summary/b09a0000-1777-56b2-d038-08de4d3a935a" TargetMode="External"/><Relationship Id="rId39" Type="http://schemas.openxmlformats.org/officeDocument/2006/relationships/hyperlink" Target="https://hajj.nusuk.sa/sp/package/summary/c42c0000-66ae-56b2-0677-08de58057cdc" TargetMode="External"/><Relationship Id="rId34" Type="http://schemas.openxmlformats.org/officeDocument/2006/relationships/hyperlink" Target="https://hajj.nusuk.sa/sp/package/summary/04830000-7c25-56b2-7870-08de513382d3" TargetMode="External"/><Relationship Id="rId50" Type="http://schemas.openxmlformats.org/officeDocument/2006/relationships/hyperlink" Target="https://hajj.nusuk.sa/sp/package/summary/e4790000-befd-56b2-66f5-08de5109bdcc" TargetMode="External"/><Relationship Id="rId55" Type="http://schemas.openxmlformats.org/officeDocument/2006/relationships/hyperlink" Target="https://hajj.nusuk.sa/sp/package/summary/fc7c0000-7c25-56b2-a4d4-08de4d50f3c5" TargetMode="External"/><Relationship Id="rId76" Type="http://schemas.openxmlformats.org/officeDocument/2006/relationships/hyperlink" Target="https://hajj.nusuk.sa/sp/package/summary/54b70000-7c25-56b2-119c-08de4bca12d0" TargetMode="External"/><Relationship Id="rId7" Type="http://schemas.openxmlformats.org/officeDocument/2006/relationships/hyperlink" Target="https://hajj.nusuk.sa/sp/package/summary/9c790000-66ae-56b2-b920-08de4f974263" TargetMode="External"/><Relationship Id="rId71" Type="http://schemas.openxmlformats.org/officeDocument/2006/relationships/hyperlink" Target="https://hajj.nusuk.sa/sp/package/summary/18150000-befd-56b2-fe03-08de53990089" TargetMode="External"/><Relationship Id="rId92" Type="http://schemas.openxmlformats.org/officeDocument/2006/relationships/hyperlink" Target="https://hajj.nusuk.sa/sp/package/summary/bc350000-7c25-56b2-0ed3-08de591ce9a9" TargetMode="External"/><Relationship Id="rId2" Type="http://schemas.openxmlformats.org/officeDocument/2006/relationships/hyperlink" Target="https://hajj.nusuk.sa/sp/package/summary/64310000-befd-56b2-16f1-08de4bed0f4c" TargetMode="External"/><Relationship Id="rId29" Type="http://schemas.openxmlformats.org/officeDocument/2006/relationships/hyperlink" Target="https://hajj.nusuk.sa/sp/package/summary/04a60000-befd-56b2-e65b-08de4e0f9a00" TargetMode="External"/><Relationship Id="rId24" Type="http://schemas.openxmlformats.org/officeDocument/2006/relationships/hyperlink" Target="https://hajj.nusuk.sa/sp/package/summary/58260000-1777-56b2-0845-08de4ed9b2d0" TargetMode="External"/><Relationship Id="rId40" Type="http://schemas.openxmlformats.org/officeDocument/2006/relationships/hyperlink" Target="https://hajj.nusuk.sa/sp/package/summary/183d0000-1777-56b2-ec76-08de5818e6c4" TargetMode="External"/><Relationship Id="rId45" Type="http://schemas.openxmlformats.org/officeDocument/2006/relationships/hyperlink" Target="https://hajj.nusuk.sa/sp/package/summary/04a60000-befd-56b2-1c90-08de4e183bd7" TargetMode="External"/><Relationship Id="rId66" Type="http://schemas.openxmlformats.org/officeDocument/2006/relationships/hyperlink" Target="https://hajj.nusuk.sa/sp/package/summary/f83b0000-7c25-56b2-eb44-08de4efb8617" TargetMode="External"/><Relationship Id="rId87" Type="http://schemas.openxmlformats.org/officeDocument/2006/relationships/hyperlink" Target="https://hajj.nusuk.sa/sp/package/summary/9c060000-7c25-56b2-346b-08de58197326" TargetMode="External"/><Relationship Id="rId61" Type="http://schemas.openxmlformats.org/officeDocument/2006/relationships/hyperlink" Target="https://hajj.nusuk.sa/sp/package/summary/ac910000-66ae-56b2-506e-08de4c81eb01" TargetMode="External"/><Relationship Id="rId82" Type="http://schemas.openxmlformats.org/officeDocument/2006/relationships/hyperlink" Target="https://hajj.nusuk.sa/sp/package/summary/64310000-befd-56b2-5e3b-08de4ba5c541" TargetMode="External"/><Relationship Id="rId19" Type="http://schemas.openxmlformats.org/officeDocument/2006/relationships/hyperlink" Target="https://hajj.nusuk.sa/sp/package/summary/f0450000-befd-56b2-af61-08de4d3d7e23" TargetMode="External"/><Relationship Id="rId14" Type="http://schemas.openxmlformats.org/officeDocument/2006/relationships/hyperlink" Target="https://hajj.nusuk.sa/sp/package/summary/58260000-1777-56b2-9edc-08de4ea8527f" TargetMode="External"/><Relationship Id="rId30" Type="http://schemas.openxmlformats.org/officeDocument/2006/relationships/hyperlink" Target="https://hajj.nusuk.sa/sp/package/summary/04a60000-befd-56b2-80f1-08de4e31e887" TargetMode="External"/><Relationship Id="rId35" Type="http://schemas.openxmlformats.org/officeDocument/2006/relationships/hyperlink" Target="https://hajj.nusuk.sa/sp/package/summary/e4790000-befd-56b2-4a18-08de51340686" TargetMode="External"/><Relationship Id="rId56" Type="http://schemas.openxmlformats.org/officeDocument/2006/relationships/hyperlink" Target="https://hajj.nusuk.sa/sp/package/summary/24600000-1777-56b2-3bba-08de4f72c60b" TargetMode="External"/><Relationship Id="rId77" Type="http://schemas.openxmlformats.org/officeDocument/2006/relationships/hyperlink" Target="https://hajj.nusuk.sa/sp/package/summary/746c0000-66ae-56b2-2863-08de4bd0e1d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75AA0-F91C-4A4F-83C0-31D2698AB4F7}">
  <dimension ref="A1:AE66"/>
  <sheetViews>
    <sheetView zoomScale="160" zoomScaleNormal="160" workbookViewId="0">
      <pane xSplit="7" ySplit="1" topLeftCell="H38" activePane="bottomRight" state="frozen"/>
      <selection pane="topRight" activeCell="H1" sqref="H1"/>
      <selection pane="bottomLeft" activeCell="A2" sqref="A2"/>
      <selection pane="bottomRight" activeCell="X2" sqref="X2:X66"/>
    </sheetView>
  </sheetViews>
  <sheetFormatPr baseColWidth="10" defaultRowHeight="14" x14ac:dyDescent="0.2"/>
  <cols>
    <col min="1" max="1" width="10.83203125" style="8" bestFit="1" customWidth="1"/>
    <col min="2" max="2" width="14" style="8" bestFit="1" customWidth="1"/>
    <col min="3" max="3" width="23" style="8" bestFit="1" customWidth="1"/>
    <col min="4" max="5" width="6.5" style="10" bestFit="1" customWidth="1"/>
    <col min="6" max="6" width="5.83203125" style="9" bestFit="1" customWidth="1"/>
    <col min="7" max="7" width="7.1640625" style="9" bestFit="1" customWidth="1"/>
    <col min="8" max="8" width="20.1640625" style="8" bestFit="1" customWidth="1"/>
    <col min="9" max="9" width="6.5" style="10" bestFit="1" customWidth="1"/>
    <col min="10" max="10" width="23.33203125" style="8" bestFit="1" customWidth="1"/>
    <col min="11" max="11" width="5.83203125" style="9" bestFit="1" customWidth="1"/>
    <col min="12" max="12" width="6.5" style="10" bestFit="1" customWidth="1"/>
    <col min="13" max="13" width="19.83203125" style="8" bestFit="1" customWidth="1"/>
    <col min="14" max="14" width="6.5" style="10" bestFit="1" customWidth="1"/>
    <col min="15" max="15" width="19.6640625" style="8" bestFit="1" customWidth="1"/>
    <col min="16" max="16" width="10" style="11" bestFit="1" customWidth="1"/>
    <col min="17" max="17" width="10" style="12" bestFit="1" customWidth="1"/>
    <col min="18" max="18" width="10.83203125" style="11" bestFit="1" customWidth="1"/>
    <col min="19" max="19" width="10" style="12" bestFit="1" customWidth="1"/>
    <col min="20" max="20" width="11.6640625" style="11" bestFit="1" customWidth="1"/>
    <col min="21" max="22" width="10" style="12" bestFit="1" customWidth="1"/>
    <col min="23" max="24" width="10.83203125" style="11" bestFit="1" customWidth="1"/>
    <col min="25" max="25" width="10.83203125" style="13" bestFit="1" customWidth="1"/>
    <col min="26" max="26" width="10.83203125" style="11" bestFit="1" customWidth="1"/>
    <col min="27" max="27" width="11.6640625" style="14" bestFit="1" customWidth="1"/>
    <col min="28" max="28" width="10.83203125" style="13" bestFit="1" customWidth="1"/>
    <col min="29" max="29" width="10.83203125" style="11" bestFit="1" customWidth="1"/>
    <col min="30" max="30" width="11.6640625" style="14" bestFit="1" customWidth="1"/>
    <col min="31" max="31" width="73" style="17" bestFit="1" customWidth="1"/>
    <col min="32" max="16384" width="10.83203125" style="8"/>
  </cols>
  <sheetData>
    <row r="1" spans="1:31" s="1" customFormat="1" ht="199" x14ac:dyDescent="0.2">
      <c r="A1" s="1" t="s">
        <v>134</v>
      </c>
      <c r="B1" s="2" t="s">
        <v>135</v>
      </c>
      <c r="C1" s="2" t="s">
        <v>20</v>
      </c>
      <c r="D1" s="3" t="s">
        <v>136</v>
      </c>
      <c r="E1" s="3" t="s">
        <v>137</v>
      </c>
      <c r="F1" s="2" t="s">
        <v>138</v>
      </c>
      <c r="G1" s="2" t="s">
        <v>21</v>
      </c>
      <c r="H1" s="2" t="s">
        <v>22</v>
      </c>
      <c r="I1" s="3" t="s">
        <v>33</v>
      </c>
      <c r="J1" s="2" t="s">
        <v>38</v>
      </c>
      <c r="K1" s="2" t="s">
        <v>13</v>
      </c>
      <c r="L1" s="3" t="s">
        <v>34</v>
      </c>
      <c r="M1" s="2" t="s">
        <v>139</v>
      </c>
      <c r="N1" s="3" t="s">
        <v>35</v>
      </c>
      <c r="O1" s="2" t="s">
        <v>140</v>
      </c>
      <c r="P1" s="4" t="s">
        <v>141</v>
      </c>
      <c r="Q1" s="4" t="s">
        <v>127</v>
      </c>
      <c r="R1" s="4" t="s">
        <v>128</v>
      </c>
      <c r="S1" s="4" t="s">
        <v>129</v>
      </c>
      <c r="T1" s="4" t="s">
        <v>130</v>
      </c>
      <c r="U1" s="4" t="s">
        <v>131</v>
      </c>
      <c r="V1" s="4" t="s">
        <v>132</v>
      </c>
      <c r="W1" s="4" t="s">
        <v>133</v>
      </c>
      <c r="X1" s="4" t="s">
        <v>150</v>
      </c>
      <c r="Y1" s="5" t="s">
        <v>142</v>
      </c>
      <c r="Z1" s="4" t="s">
        <v>143</v>
      </c>
      <c r="AA1" s="6" t="s">
        <v>144</v>
      </c>
      <c r="AB1" s="5" t="s">
        <v>145</v>
      </c>
      <c r="AC1" s="4" t="s">
        <v>146</v>
      </c>
      <c r="AD1" s="6" t="s">
        <v>147</v>
      </c>
      <c r="AE1" s="7" t="s">
        <v>0</v>
      </c>
    </row>
    <row r="2" spans="1:31" ht="16" x14ac:dyDescent="0.2">
      <c r="A2" s="8" t="s">
        <v>17</v>
      </c>
      <c r="B2" s="8" t="s">
        <v>25</v>
      </c>
      <c r="C2" s="8" t="s">
        <v>112</v>
      </c>
      <c r="D2" s="10">
        <v>46163</v>
      </c>
      <c r="E2" s="10">
        <v>46173</v>
      </c>
      <c r="F2" s="9">
        <f t="shared" ref="F2:F33" si="0">E2-D2</f>
        <v>10</v>
      </c>
      <c r="G2" s="9" t="s">
        <v>199</v>
      </c>
      <c r="H2" s="8" t="s">
        <v>121</v>
      </c>
      <c r="I2" s="10">
        <v>46163</v>
      </c>
      <c r="J2" s="8" t="s">
        <v>114</v>
      </c>
      <c r="K2" s="9" t="s">
        <v>3</v>
      </c>
      <c r="L2" s="10">
        <v>46166</v>
      </c>
      <c r="M2" s="8" t="s">
        <v>23</v>
      </c>
      <c r="O2" s="8" t="s">
        <v>148</v>
      </c>
      <c r="P2" s="11">
        <v>4673.42</v>
      </c>
      <c r="Q2" s="12">
        <f>22823.39-18544.61</f>
        <v>4278.7799999999988</v>
      </c>
      <c r="R2" s="11">
        <f>31380.91-18544.61</f>
        <v>12836.3</v>
      </c>
      <c r="S2" s="12">
        <f>4075.32-3493.16</f>
        <v>582.16000000000031</v>
      </c>
      <c r="T2" s="11">
        <f>5239.72-3493.16</f>
        <v>1746.5600000000004</v>
      </c>
      <c r="W2" s="11">
        <v>36030</v>
      </c>
      <c r="X2" s="11">
        <v>8793.85</v>
      </c>
      <c r="Y2" s="13">
        <v>0</v>
      </c>
      <c r="Z2" s="11">
        <v>0</v>
      </c>
      <c r="AA2" s="14">
        <v>0</v>
      </c>
      <c r="AB2" s="13" t="e">
        <f>(2*W2)+(2*P2)+#REF!</f>
        <v>#REF!</v>
      </c>
      <c r="AD2" s="14" t="e">
        <f>(2*W2)+(2*P2)+(2*R2)+#REF!</f>
        <v>#REF!</v>
      </c>
      <c r="AE2" s="18" t="s">
        <v>113</v>
      </c>
    </row>
    <row r="3" spans="1:31" x14ac:dyDescent="0.2">
      <c r="A3" s="8" t="s">
        <v>51</v>
      </c>
      <c r="B3" s="8" t="s">
        <v>25</v>
      </c>
      <c r="C3" s="8" t="s">
        <v>56</v>
      </c>
      <c r="D3" s="10">
        <v>46165</v>
      </c>
      <c r="E3" s="10">
        <v>46176</v>
      </c>
      <c r="F3" s="9">
        <f t="shared" si="0"/>
        <v>11</v>
      </c>
      <c r="G3" s="9" t="s">
        <v>27</v>
      </c>
      <c r="H3" s="8" t="s">
        <v>62</v>
      </c>
      <c r="I3" s="10">
        <v>46173</v>
      </c>
      <c r="J3" s="8" t="s">
        <v>64</v>
      </c>
      <c r="K3" s="9" t="s">
        <v>3</v>
      </c>
      <c r="L3" s="10">
        <v>46165</v>
      </c>
      <c r="M3" s="8" t="s">
        <v>149</v>
      </c>
      <c r="O3" s="8" t="s">
        <v>148</v>
      </c>
      <c r="P3" s="11">
        <v>4673.42</v>
      </c>
      <c r="R3" s="11">
        <v>12236.989999999998</v>
      </c>
      <c r="U3" s="12">
        <v>0</v>
      </c>
      <c r="V3" s="12">
        <v>0</v>
      </c>
      <c r="W3" s="11">
        <v>39478.58</v>
      </c>
      <c r="X3" s="11">
        <v>10574.5</v>
      </c>
      <c r="Y3" s="13">
        <v>0</v>
      </c>
      <c r="Z3" s="11">
        <v>0</v>
      </c>
      <c r="AA3" s="14">
        <v>0</v>
      </c>
      <c r="AB3" s="13">
        <f>W3+P3+X3</f>
        <v>54726.5</v>
      </c>
      <c r="AC3" s="11">
        <f>W3+P3+Q3+S3+U3+X3</f>
        <v>54726.5</v>
      </c>
      <c r="AD3" s="14">
        <f>W3+P3+R3+T3+V3+X3</f>
        <v>66963.489999999991</v>
      </c>
    </row>
    <row r="4" spans="1:31" ht="16" x14ac:dyDescent="0.2">
      <c r="A4" s="8" t="s">
        <v>51</v>
      </c>
      <c r="B4" s="8" t="s">
        <v>25</v>
      </c>
      <c r="C4" s="8" t="s">
        <v>70</v>
      </c>
      <c r="D4" s="10">
        <v>46163</v>
      </c>
      <c r="E4" s="10">
        <v>46174</v>
      </c>
      <c r="F4" s="9">
        <f t="shared" si="0"/>
        <v>11</v>
      </c>
      <c r="G4" s="9" t="s">
        <v>199</v>
      </c>
      <c r="H4" s="8" t="s">
        <v>12</v>
      </c>
      <c r="I4" s="10">
        <v>46163</v>
      </c>
      <c r="J4" s="8" t="s">
        <v>73</v>
      </c>
      <c r="K4" s="9" t="s">
        <v>3</v>
      </c>
      <c r="L4" s="10">
        <v>46166</v>
      </c>
      <c r="M4" s="8" t="s">
        <v>149</v>
      </c>
      <c r="O4" s="8" t="s">
        <v>148</v>
      </c>
      <c r="P4" s="11">
        <v>4673.42</v>
      </c>
      <c r="R4" s="11">
        <v>12140.93</v>
      </c>
      <c r="U4" s="12">
        <v>0</v>
      </c>
      <c r="V4" s="12">
        <v>0</v>
      </c>
      <c r="W4" s="11">
        <v>43288.14</v>
      </c>
      <c r="X4" s="11">
        <v>10700.39</v>
      </c>
      <c r="Y4" s="13">
        <v>0</v>
      </c>
      <c r="Z4" s="11">
        <v>0</v>
      </c>
      <c r="AA4" s="14">
        <v>0</v>
      </c>
      <c r="AB4" s="13">
        <f>W4+P4+X4</f>
        <v>58661.95</v>
      </c>
      <c r="AC4" s="11">
        <f>W4+P4+Q4+S4+U4+X4</f>
        <v>58661.95</v>
      </c>
      <c r="AD4" s="14">
        <f>W4+P4+R4+T4+V4+X4</f>
        <v>70802.880000000005</v>
      </c>
      <c r="AE4" s="15" t="s">
        <v>84</v>
      </c>
    </row>
    <row r="5" spans="1:31" ht="16" x14ac:dyDescent="0.2">
      <c r="A5" s="8" t="s">
        <v>51</v>
      </c>
      <c r="B5" s="8" t="s">
        <v>25</v>
      </c>
      <c r="C5" s="8" t="s">
        <v>8</v>
      </c>
      <c r="D5" s="10">
        <v>46160</v>
      </c>
      <c r="E5" s="10">
        <v>46173</v>
      </c>
      <c r="F5" s="9">
        <f t="shared" si="0"/>
        <v>13</v>
      </c>
      <c r="G5" s="9" t="s">
        <v>199</v>
      </c>
      <c r="H5" s="8" t="s">
        <v>12</v>
      </c>
      <c r="I5" s="10">
        <v>46160</v>
      </c>
      <c r="J5" s="8" t="s">
        <v>72</v>
      </c>
      <c r="K5" s="9" t="s">
        <v>3</v>
      </c>
      <c r="L5" s="10">
        <v>46164</v>
      </c>
      <c r="M5" s="8" t="s">
        <v>149</v>
      </c>
      <c r="O5" s="8" t="s">
        <v>24</v>
      </c>
      <c r="P5" s="11" t="s">
        <v>19</v>
      </c>
      <c r="Q5" s="12">
        <f>22947.68-19905.06</f>
        <v>3042.619999999999</v>
      </c>
      <c r="R5" s="11">
        <v>8651.44</v>
      </c>
      <c r="S5" s="12">
        <f>6418.79-5309.01</f>
        <v>1109.7799999999997</v>
      </c>
      <c r="T5" s="11">
        <v>3306.88</v>
      </c>
      <c r="W5" s="11">
        <v>39206.31</v>
      </c>
      <c r="X5" s="11">
        <v>10627</v>
      </c>
      <c r="Y5" s="13">
        <f>W5+X5</f>
        <v>49833.31</v>
      </c>
      <c r="Z5" s="11">
        <f>W5+Q5+S5+U5+X5</f>
        <v>53985.709999999992</v>
      </c>
      <c r="AA5" s="14">
        <f>W5+R5+T5+V5+X5</f>
        <v>61791.63</v>
      </c>
      <c r="AB5" s="13">
        <v>0</v>
      </c>
      <c r="AC5" s="11">
        <v>0</v>
      </c>
      <c r="AD5" s="14">
        <v>0</v>
      </c>
      <c r="AE5" s="15" t="s">
        <v>83</v>
      </c>
    </row>
    <row r="6" spans="1:31" ht="16" x14ac:dyDescent="0.2">
      <c r="A6" s="8" t="s">
        <v>119</v>
      </c>
      <c r="B6" s="8" t="s">
        <v>25</v>
      </c>
      <c r="C6" s="8" t="s">
        <v>213</v>
      </c>
      <c r="D6" s="10">
        <v>46160</v>
      </c>
      <c r="E6" s="10">
        <v>46173</v>
      </c>
      <c r="F6" s="9">
        <f t="shared" si="0"/>
        <v>13</v>
      </c>
      <c r="G6" s="9" t="s">
        <v>199</v>
      </c>
      <c r="H6" s="8" t="s">
        <v>12</v>
      </c>
      <c r="I6" s="10">
        <v>46160</v>
      </c>
      <c r="J6" s="8" t="s">
        <v>18</v>
      </c>
      <c r="K6" s="9" t="s">
        <v>3</v>
      </c>
      <c r="L6" s="10">
        <v>46163</v>
      </c>
      <c r="M6" s="8" t="s">
        <v>23</v>
      </c>
      <c r="O6" s="8" t="s">
        <v>24</v>
      </c>
      <c r="P6" s="11" t="s">
        <v>19</v>
      </c>
      <c r="Q6" s="12">
        <v>0</v>
      </c>
      <c r="R6" s="11">
        <v>0</v>
      </c>
      <c r="S6" s="12">
        <v>0</v>
      </c>
      <c r="T6" s="11">
        <v>0</v>
      </c>
      <c r="W6" s="11">
        <v>40706</v>
      </c>
      <c r="X6" s="11">
        <v>7599.62</v>
      </c>
      <c r="Y6" s="13">
        <f>W6+X6</f>
        <v>48305.62</v>
      </c>
      <c r="Z6" s="11">
        <f>W6+Q6+S6+U6+X6</f>
        <v>48305.62</v>
      </c>
      <c r="AA6" s="14">
        <f>W6+R6+T6+V6+X6</f>
        <v>48305.62</v>
      </c>
      <c r="AB6" s="13">
        <v>0</v>
      </c>
      <c r="AC6" s="11">
        <v>0</v>
      </c>
      <c r="AD6" s="14">
        <v>0</v>
      </c>
      <c r="AE6" s="16" t="s">
        <v>214</v>
      </c>
    </row>
    <row r="7" spans="1:31" ht="16" x14ac:dyDescent="0.2">
      <c r="A7" s="8" t="s">
        <v>17</v>
      </c>
      <c r="B7" s="8" t="s">
        <v>25</v>
      </c>
      <c r="C7" s="8" t="s">
        <v>1</v>
      </c>
      <c r="D7" s="10">
        <v>46160</v>
      </c>
      <c r="E7" s="10">
        <v>46174</v>
      </c>
      <c r="F7" s="9">
        <f t="shared" si="0"/>
        <v>14</v>
      </c>
      <c r="G7" s="9" t="s">
        <v>199</v>
      </c>
      <c r="H7" s="8" t="s">
        <v>2</v>
      </c>
      <c r="I7" s="10">
        <v>46160</v>
      </c>
      <c r="J7" s="8" t="s">
        <v>50</v>
      </c>
      <c r="K7" s="9" t="s">
        <v>3</v>
      </c>
      <c r="L7" s="10">
        <v>46163</v>
      </c>
      <c r="M7" s="8" t="s">
        <v>23</v>
      </c>
      <c r="O7" s="8" t="s">
        <v>24</v>
      </c>
      <c r="P7" s="11" t="s">
        <v>19</v>
      </c>
      <c r="Q7" s="12">
        <f>18754.46-15454.26</f>
        <v>3300.1999999999989</v>
      </c>
      <c r="R7" s="11">
        <f>26277.89-15454.26</f>
        <v>10823.63</v>
      </c>
      <c r="S7" s="12">
        <f>4073.17-3274.76</f>
        <v>798.40999999999985</v>
      </c>
      <c r="T7" s="11">
        <f>5677.37-3274.76</f>
        <v>2402.6099999999997</v>
      </c>
      <c r="W7" s="11">
        <v>32710</v>
      </c>
      <c r="X7" s="11">
        <v>7599.62</v>
      </c>
      <c r="Y7" s="13">
        <f>W7+X7</f>
        <v>40309.620000000003</v>
      </c>
      <c r="Z7" s="11">
        <f>W7+Q7+S7+U7+X7</f>
        <v>44408.23</v>
      </c>
      <c r="AA7" s="14">
        <f>W7+R7+T7+V7+X7</f>
        <v>53535.86</v>
      </c>
      <c r="AB7" s="13">
        <v>0</v>
      </c>
      <c r="AC7" s="11">
        <v>0</v>
      </c>
      <c r="AD7" s="14">
        <v>0</v>
      </c>
      <c r="AE7" s="18" t="s">
        <v>89</v>
      </c>
    </row>
    <row r="8" spans="1:31" ht="16" x14ac:dyDescent="0.2">
      <c r="A8" s="8" t="s">
        <v>51</v>
      </c>
      <c r="B8" s="8" t="s">
        <v>25</v>
      </c>
      <c r="C8" s="8" t="s">
        <v>67</v>
      </c>
      <c r="D8" s="10">
        <v>46162</v>
      </c>
      <c r="E8" s="10">
        <v>46176</v>
      </c>
      <c r="F8" s="9">
        <f t="shared" si="0"/>
        <v>14</v>
      </c>
      <c r="G8" s="9" t="s">
        <v>199</v>
      </c>
      <c r="H8" s="8" t="s">
        <v>61</v>
      </c>
      <c r="I8" s="10">
        <v>46162</v>
      </c>
      <c r="J8" s="8" t="s">
        <v>63</v>
      </c>
      <c r="K8" s="9" t="s">
        <v>16</v>
      </c>
      <c r="L8" s="10">
        <v>46165</v>
      </c>
      <c r="M8" s="8" t="s">
        <v>149</v>
      </c>
      <c r="O8" s="8" t="s">
        <v>24</v>
      </c>
      <c r="P8" s="11" t="s">
        <v>19</v>
      </c>
      <c r="Q8" s="12">
        <f>9166.14-7268.32</f>
        <v>1897.8199999999997</v>
      </c>
      <c r="R8" s="11">
        <v>5572.37</v>
      </c>
      <c r="S8" s="12">
        <f>1927.23-1497.04</f>
        <v>430.19000000000005</v>
      </c>
      <c r="T8" s="11">
        <v>1290.55</v>
      </c>
      <c r="W8" s="11">
        <v>25020.880000000001</v>
      </c>
      <c r="X8" s="11">
        <v>10700.96</v>
      </c>
      <c r="Y8" s="13">
        <f>W8+X8</f>
        <v>35721.839999999997</v>
      </c>
      <c r="Z8" s="11">
        <f>W8+Q8+S8+U8+X8</f>
        <v>38049.85</v>
      </c>
      <c r="AA8" s="14">
        <f>W8+R8+T8+V8+X8</f>
        <v>42584.759999999995</v>
      </c>
      <c r="AB8" s="13">
        <v>0</v>
      </c>
      <c r="AC8" s="11">
        <v>0</v>
      </c>
      <c r="AD8" s="14">
        <v>0</v>
      </c>
      <c r="AE8" s="15" t="s">
        <v>77</v>
      </c>
    </row>
    <row r="9" spans="1:31" ht="16" x14ac:dyDescent="0.2">
      <c r="A9" s="8" t="s">
        <v>94</v>
      </c>
      <c r="B9" s="8" t="s">
        <v>30</v>
      </c>
      <c r="C9" s="20" t="s">
        <v>14</v>
      </c>
      <c r="D9" s="10">
        <v>46160</v>
      </c>
      <c r="E9" s="10">
        <v>46174</v>
      </c>
      <c r="F9" s="9">
        <f t="shared" si="0"/>
        <v>14</v>
      </c>
      <c r="G9" s="9" t="s">
        <v>199</v>
      </c>
      <c r="H9" s="8" t="s">
        <v>26</v>
      </c>
      <c r="J9" s="8" t="s">
        <v>101</v>
      </c>
      <c r="K9" s="9" t="s">
        <v>16</v>
      </c>
      <c r="M9" s="8" t="s">
        <v>149</v>
      </c>
      <c r="O9" s="8" t="s">
        <v>24</v>
      </c>
      <c r="P9" s="11" t="s">
        <v>19</v>
      </c>
      <c r="Q9" s="12">
        <f>20255.16-17020.17</f>
        <v>3234.9900000000016</v>
      </c>
      <c r="R9" s="11">
        <v>9681.6200000000008</v>
      </c>
      <c r="S9" s="12">
        <f>5823.61-4804.27</f>
        <v>1019.3399999999992</v>
      </c>
      <c r="T9" s="11">
        <v>3058.02</v>
      </c>
      <c r="U9" s="12">
        <v>0</v>
      </c>
      <c r="V9" s="12">
        <v>0</v>
      </c>
      <c r="W9" s="11">
        <v>35725.19</v>
      </c>
      <c r="X9" s="11">
        <v>9293.9</v>
      </c>
      <c r="Y9" s="13">
        <f>W9+X9</f>
        <v>45019.090000000004</v>
      </c>
      <c r="Z9" s="11">
        <f>W9+Q9+S9+U9+X9</f>
        <v>49273.420000000006</v>
      </c>
      <c r="AA9" s="14">
        <f>W9+R9+T9+V9+X9</f>
        <v>57758.73</v>
      </c>
      <c r="AB9" s="13">
        <v>0</v>
      </c>
      <c r="AC9" s="11">
        <v>0</v>
      </c>
      <c r="AD9" s="14">
        <v>0</v>
      </c>
      <c r="AE9" s="18" t="s">
        <v>100</v>
      </c>
    </row>
    <row r="10" spans="1:31" x14ac:dyDescent="0.2">
      <c r="A10" s="8" t="s">
        <v>51</v>
      </c>
      <c r="B10" s="8" t="s">
        <v>25</v>
      </c>
      <c r="C10" s="8" t="s">
        <v>58</v>
      </c>
      <c r="D10" s="10">
        <v>46163</v>
      </c>
      <c r="E10" s="10">
        <v>46177</v>
      </c>
      <c r="F10" s="9">
        <f t="shared" si="0"/>
        <v>14</v>
      </c>
      <c r="G10" s="9" t="s">
        <v>27</v>
      </c>
      <c r="H10" s="8" t="s">
        <v>11</v>
      </c>
      <c r="I10" s="10">
        <v>46173</v>
      </c>
      <c r="J10" s="8" t="s">
        <v>64</v>
      </c>
      <c r="K10" s="9" t="s">
        <v>3</v>
      </c>
      <c r="L10" s="10">
        <v>46163</v>
      </c>
      <c r="M10" s="8" t="s">
        <v>149</v>
      </c>
      <c r="O10" s="8" t="s">
        <v>148</v>
      </c>
      <c r="P10" s="11">
        <v>4673.42</v>
      </c>
      <c r="R10" s="11">
        <v>11713.699999999997</v>
      </c>
      <c r="U10" s="12">
        <v>0</v>
      </c>
      <c r="V10" s="12">
        <v>0</v>
      </c>
      <c r="W10" s="11">
        <v>41274.15</v>
      </c>
      <c r="X10" s="11">
        <v>10573.94</v>
      </c>
      <c r="Y10" s="13">
        <v>0</v>
      </c>
      <c r="Z10" s="11">
        <v>0</v>
      </c>
      <c r="AA10" s="14">
        <v>0</v>
      </c>
      <c r="AB10" s="13">
        <f>W10+P10+X10</f>
        <v>56521.51</v>
      </c>
      <c r="AC10" s="11">
        <f>W10+P10+Q10+S10+U10+X10</f>
        <v>56521.51</v>
      </c>
      <c r="AD10" s="14">
        <f>W10+P10+R10+T10+V10+X10</f>
        <v>68235.209999999992</v>
      </c>
    </row>
    <row r="11" spans="1:31" x14ac:dyDescent="0.2">
      <c r="A11" s="8" t="s">
        <v>51</v>
      </c>
      <c r="B11" s="8" t="s">
        <v>25</v>
      </c>
      <c r="C11" s="8" t="s">
        <v>57</v>
      </c>
      <c r="D11" s="10">
        <v>46165</v>
      </c>
      <c r="E11" s="10">
        <v>46179</v>
      </c>
      <c r="F11" s="9">
        <f t="shared" si="0"/>
        <v>14</v>
      </c>
      <c r="G11" s="9" t="s">
        <v>27</v>
      </c>
      <c r="H11" s="8" t="s">
        <v>11</v>
      </c>
      <c r="I11" s="10">
        <v>46176</v>
      </c>
      <c r="J11" s="8" t="s">
        <v>64</v>
      </c>
      <c r="K11" s="9" t="s">
        <v>3</v>
      </c>
      <c r="L11" s="10">
        <v>46165</v>
      </c>
      <c r="M11" s="8" t="s">
        <v>149</v>
      </c>
      <c r="O11" s="8" t="s">
        <v>24</v>
      </c>
      <c r="P11" s="11" t="s">
        <v>19</v>
      </c>
      <c r="R11" s="11">
        <v>11162.260000000002</v>
      </c>
      <c r="W11" s="11">
        <v>41516.129999999997</v>
      </c>
      <c r="X11" s="11">
        <v>10574.49</v>
      </c>
      <c r="Y11" s="13">
        <f>W11+X11</f>
        <v>52090.619999999995</v>
      </c>
      <c r="Z11" s="11">
        <f>W11+Q11+S11+U11+X11</f>
        <v>52090.619999999995</v>
      </c>
      <c r="AA11" s="14">
        <f>W11+R11+T11+V11+X11</f>
        <v>63252.88</v>
      </c>
      <c r="AB11" s="13">
        <v>0</v>
      </c>
      <c r="AC11" s="11">
        <v>0</v>
      </c>
      <c r="AD11" s="14">
        <v>0</v>
      </c>
    </row>
    <row r="12" spans="1:31" ht="16" x14ac:dyDescent="0.2">
      <c r="A12" s="8" t="s">
        <v>94</v>
      </c>
      <c r="B12" s="8" t="s">
        <v>30</v>
      </c>
      <c r="C12" s="20" t="s">
        <v>14</v>
      </c>
      <c r="D12" s="10">
        <v>46160</v>
      </c>
      <c r="E12" s="10">
        <v>46174</v>
      </c>
      <c r="F12" s="9">
        <f t="shared" si="0"/>
        <v>14</v>
      </c>
      <c r="G12" s="9" t="s">
        <v>199</v>
      </c>
      <c r="H12" s="8" t="s">
        <v>26</v>
      </c>
      <c r="I12" s="10">
        <v>46160</v>
      </c>
      <c r="J12" s="8" t="s">
        <v>101</v>
      </c>
      <c r="K12" s="9" t="s">
        <v>16</v>
      </c>
      <c r="L12" s="10">
        <v>46163</v>
      </c>
      <c r="M12" s="8" t="s">
        <v>149</v>
      </c>
      <c r="O12" s="8" t="s">
        <v>148</v>
      </c>
      <c r="P12" s="11">
        <v>4673.42</v>
      </c>
      <c r="Q12" s="12">
        <f>20255.16-17020.17</f>
        <v>3234.9900000000016</v>
      </c>
      <c r="R12" s="11">
        <v>9681.6200000000008</v>
      </c>
      <c r="S12" s="12">
        <f>5823.61-4804.27</f>
        <v>1019.3399999999992</v>
      </c>
      <c r="T12" s="11">
        <v>3058.02</v>
      </c>
      <c r="U12" s="12">
        <v>0</v>
      </c>
      <c r="V12" s="12">
        <v>0</v>
      </c>
      <c r="W12" s="11">
        <v>35725.19</v>
      </c>
      <c r="X12" s="11">
        <v>9293.9</v>
      </c>
      <c r="Y12" s="13">
        <v>0</v>
      </c>
      <c r="Z12" s="11">
        <v>0</v>
      </c>
      <c r="AA12" s="14">
        <v>0</v>
      </c>
      <c r="AB12" s="13">
        <f>W12+P12+X12</f>
        <v>49692.51</v>
      </c>
      <c r="AC12" s="11">
        <f>W12+P12+Q12+S12+U12+X12</f>
        <v>53946.840000000004</v>
      </c>
      <c r="AD12" s="14">
        <f>W12+P12+R12+T12+V12+X12</f>
        <v>62432.15</v>
      </c>
      <c r="AE12" s="18" t="s">
        <v>100</v>
      </c>
    </row>
    <row r="13" spans="1:31" ht="16" x14ac:dyDescent="0.2">
      <c r="A13" s="8" t="s">
        <v>17</v>
      </c>
      <c r="B13" s="8" t="s">
        <v>25</v>
      </c>
      <c r="C13" s="8" t="s">
        <v>48</v>
      </c>
      <c r="D13" s="10">
        <v>46160</v>
      </c>
      <c r="E13" s="10">
        <v>46174</v>
      </c>
      <c r="F13" s="9">
        <f t="shared" si="0"/>
        <v>14</v>
      </c>
      <c r="G13" s="9" t="s">
        <v>199</v>
      </c>
      <c r="H13" s="8" t="s">
        <v>2</v>
      </c>
      <c r="I13" s="10">
        <v>46160</v>
      </c>
      <c r="J13" s="8" t="s">
        <v>47</v>
      </c>
      <c r="K13" s="9" t="s">
        <v>32</v>
      </c>
      <c r="L13" s="10">
        <v>46163</v>
      </c>
      <c r="M13" s="8" t="s">
        <v>23</v>
      </c>
      <c r="O13" s="8" t="s">
        <v>24</v>
      </c>
      <c r="P13" s="11" t="s">
        <v>19</v>
      </c>
      <c r="Q13" s="12">
        <v>0</v>
      </c>
      <c r="R13" s="11">
        <v>0</v>
      </c>
      <c r="S13" s="12">
        <v>0</v>
      </c>
      <c r="T13" s="11">
        <v>0</v>
      </c>
      <c r="W13" s="11">
        <v>24335</v>
      </c>
      <c r="X13" s="11">
        <v>7600</v>
      </c>
      <c r="Y13" s="13">
        <f>W13+X13</f>
        <v>31935</v>
      </c>
      <c r="Z13" s="11">
        <f>W13+Q13+S13+U13+X13</f>
        <v>31935</v>
      </c>
      <c r="AA13" s="14">
        <f>W13+R13+T13+V13+X13</f>
        <v>31935</v>
      </c>
      <c r="AB13" s="13">
        <v>0</v>
      </c>
      <c r="AC13" s="11">
        <v>0</v>
      </c>
      <c r="AD13" s="14">
        <v>0</v>
      </c>
      <c r="AE13" s="18" t="s">
        <v>92</v>
      </c>
    </row>
    <row r="14" spans="1:31" ht="16" x14ac:dyDescent="0.2">
      <c r="A14" s="8" t="s">
        <v>17</v>
      </c>
      <c r="B14" s="8" t="s">
        <v>25</v>
      </c>
      <c r="C14" s="8" t="s">
        <v>49</v>
      </c>
      <c r="D14" s="10">
        <v>46160</v>
      </c>
      <c r="E14" s="10">
        <v>46174</v>
      </c>
      <c r="F14" s="9">
        <f t="shared" si="0"/>
        <v>14</v>
      </c>
      <c r="G14" s="9" t="s">
        <v>199</v>
      </c>
      <c r="H14" s="8" t="s">
        <v>2</v>
      </c>
      <c r="I14" s="10">
        <v>46160</v>
      </c>
      <c r="J14" s="8" t="s">
        <v>47</v>
      </c>
      <c r="K14" s="9" t="s">
        <v>32</v>
      </c>
      <c r="L14" s="10">
        <v>46163</v>
      </c>
      <c r="M14" s="8" t="s">
        <v>23</v>
      </c>
      <c r="O14" s="8" t="s">
        <v>24</v>
      </c>
      <c r="P14" s="11" t="s">
        <v>19</v>
      </c>
      <c r="Q14" s="12">
        <v>0</v>
      </c>
      <c r="R14" s="11">
        <v>0</v>
      </c>
      <c r="S14" s="12">
        <v>0</v>
      </c>
      <c r="T14" s="11">
        <v>0</v>
      </c>
      <c r="W14" s="11">
        <v>24335</v>
      </c>
      <c r="X14" s="11">
        <v>7600</v>
      </c>
      <c r="Y14" s="13">
        <f>W14+X14</f>
        <v>31935</v>
      </c>
      <c r="Z14" s="11">
        <f>W14+Q14+S14+U14+X14</f>
        <v>31935</v>
      </c>
      <c r="AA14" s="14">
        <f>W14+R14+T14+V14+X14</f>
        <v>31935</v>
      </c>
      <c r="AB14" s="13">
        <v>0</v>
      </c>
      <c r="AC14" s="11">
        <v>0</v>
      </c>
      <c r="AD14" s="14">
        <v>0</v>
      </c>
      <c r="AE14" s="18" t="s">
        <v>87</v>
      </c>
    </row>
    <row r="15" spans="1:31" ht="16" x14ac:dyDescent="0.2">
      <c r="A15" s="8" t="s">
        <v>17</v>
      </c>
      <c r="B15" s="8" t="s">
        <v>25</v>
      </c>
      <c r="C15" s="8" t="s">
        <v>159</v>
      </c>
      <c r="D15" s="10">
        <v>46160</v>
      </c>
      <c r="E15" s="10">
        <v>46174</v>
      </c>
      <c r="F15" s="9">
        <f t="shared" si="0"/>
        <v>14</v>
      </c>
      <c r="G15" s="9" t="s">
        <v>199</v>
      </c>
      <c r="H15" s="8" t="s">
        <v>161</v>
      </c>
      <c r="I15" s="10">
        <v>46160</v>
      </c>
      <c r="J15" s="8" t="s">
        <v>162</v>
      </c>
      <c r="K15" s="9" t="s">
        <v>32</v>
      </c>
      <c r="L15" s="10">
        <v>46163</v>
      </c>
      <c r="M15" s="8" t="s">
        <v>149</v>
      </c>
      <c r="O15" s="8" t="s">
        <v>24</v>
      </c>
      <c r="P15" s="11" t="s">
        <v>19</v>
      </c>
      <c r="Q15" s="12">
        <f>8915.91-8911.76</f>
        <v>4.1499999999996362</v>
      </c>
      <c r="R15" s="11">
        <v>0</v>
      </c>
      <c r="S15" s="12">
        <f>2720.38-2203.82</f>
        <v>516.55999999999995</v>
      </c>
      <c r="T15" s="11">
        <f>326483-2203.82</f>
        <v>324279.18</v>
      </c>
      <c r="W15" s="11">
        <v>25000</v>
      </c>
      <c r="X15" s="11">
        <v>9986.98</v>
      </c>
      <c r="Y15" s="13">
        <f>W15+X15</f>
        <v>34986.979999999996</v>
      </c>
      <c r="Z15" s="11">
        <f>W15+Q15+S15+U15+X15</f>
        <v>35507.69</v>
      </c>
      <c r="AA15" s="14">
        <f>W15+R15+T15+V15+X15</f>
        <v>359266.16</v>
      </c>
      <c r="AB15" s="13">
        <v>0</v>
      </c>
      <c r="AC15" s="11">
        <v>0</v>
      </c>
      <c r="AD15" s="14">
        <v>0</v>
      </c>
      <c r="AE15" s="16" t="s">
        <v>160</v>
      </c>
    </row>
    <row r="16" spans="1:31" ht="16" x14ac:dyDescent="0.2">
      <c r="A16" s="8" t="s">
        <v>119</v>
      </c>
      <c r="B16" s="8" t="s">
        <v>25</v>
      </c>
      <c r="C16" s="8" t="s">
        <v>200</v>
      </c>
      <c r="D16" s="10">
        <v>46162</v>
      </c>
      <c r="E16" s="10">
        <v>46176</v>
      </c>
      <c r="F16" s="9">
        <f t="shared" si="0"/>
        <v>14</v>
      </c>
      <c r="G16" s="9" t="s">
        <v>199</v>
      </c>
      <c r="H16" s="8" t="s">
        <v>202</v>
      </c>
      <c r="I16" s="10">
        <v>46162</v>
      </c>
      <c r="J16" s="8" t="s">
        <v>162</v>
      </c>
      <c r="K16" s="9" t="s">
        <v>32</v>
      </c>
      <c r="L16" s="10">
        <v>46165</v>
      </c>
      <c r="M16" s="8" t="s">
        <v>23</v>
      </c>
      <c r="O16" s="8" t="s">
        <v>24</v>
      </c>
      <c r="P16" s="11" t="s">
        <v>19</v>
      </c>
      <c r="Q16" s="12">
        <f>9554.64-9550.18</f>
        <v>4.4599999999991269</v>
      </c>
      <c r="R16" s="11">
        <v>0</v>
      </c>
      <c r="S16" s="12">
        <v>0</v>
      </c>
      <c r="T16" s="11">
        <v>0</v>
      </c>
      <c r="W16" s="11">
        <v>25999.99</v>
      </c>
      <c r="X16" s="11">
        <v>7621.33</v>
      </c>
      <c r="Y16" s="13">
        <f>W16+X16</f>
        <v>33621.32</v>
      </c>
      <c r="Z16" s="11">
        <f>W16+Q16+S16+U16+X16</f>
        <v>33625.78</v>
      </c>
      <c r="AA16" s="14">
        <f>W16+R16+T16+V16+X16</f>
        <v>33621.32</v>
      </c>
      <c r="AB16" s="13">
        <v>0</v>
      </c>
      <c r="AC16" s="11">
        <v>0</v>
      </c>
      <c r="AD16" s="14">
        <v>0</v>
      </c>
      <c r="AE16" s="16" t="s">
        <v>201</v>
      </c>
    </row>
    <row r="17" spans="1:31" ht="16" x14ac:dyDescent="0.2">
      <c r="A17" s="8" t="s">
        <v>119</v>
      </c>
      <c r="B17" s="8" t="s">
        <v>215</v>
      </c>
      <c r="C17" s="8" t="s">
        <v>211</v>
      </c>
      <c r="D17" s="10">
        <v>46160</v>
      </c>
      <c r="E17" s="10">
        <v>46174</v>
      </c>
      <c r="F17" s="9">
        <f t="shared" si="0"/>
        <v>14</v>
      </c>
      <c r="G17" s="9" t="s">
        <v>199</v>
      </c>
      <c r="H17" s="8" t="s">
        <v>121</v>
      </c>
      <c r="I17" s="10">
        <v>46160</v>
      </c>
      <c r="J17" s="8" t="s">
        <v>114</v>
      </c>
      <c r="K17" s="9" t="s">
        <v>3</v>
      </c>
      <c r="L17" s="10">
        <v>46163</v>
      </c>
      <c r="M17" s="8" t="s">
        <v>162</v>
      </c>
      <c r="N17" s="10">
        <v>46166</v>
      </c>
      <c r="O17" s="8" t="s">
        <v>24</v>
      </c>
      <c r="P17" s="11" t="s">
        <v>19</v>
      </c>
      <c r="Q17" s="12">
        <f>9781.46-7947.69</f>
        <v>1833.7699999999995</v>
      </c>
      <c r="R17" s="11">
        <f>13448.98-7947.69</f>
        <v>5501.29</v>
      </c>
      <c r="S17" s="12">
        <f>7102.72-5763.68</f>
        <v>1339.04</v>
      </c>
      <c r="T17" s="11">
        <f>9780.78-5763.68</f>
        <v>4017.1000000000004</v>
      </c>
      <c r="U17" s="12">
        <f>9554.6-9550.18</f>
        <v>4.4200000000000728</v>
      </c>
      <c r="V17" s="12">
        <v>0</v>
      </c>
      <c r="W17" s="11">
        <v>37250</v>
      </c>
      <c r="X17" s="11">
        <v>9119.5400000000009</v>
      </c>
      <c r="Y17" s="13">
        <f>W17+X17</f>
        <v>46369.54</v>
      </c>
      <c r="Z17" s="11">
        <f>W17+Q17+S17+U17+X17</f>
        <v>49546.77</v>
      </c>
      <c r="AA17" s="14">
        <f>W17+R17+T17+V17+X17</f>
        <v>55887.93</v>
      </c>
      <c r="AB17" s="13">
        <v>0</v>
      </c>
      <c r="AC17" s="11">
        <v>0</v>
      </c>
      <c r="AD17" s="14">
        <v>0</v>
      </c>
      <c r="AE17" s="16" t="s">
        <v>212</v>
      </c>
    </row>
    <row r="18" spans="1:31" ht="16" x14ac:dyDescent="0.2">
      <c r="A18" s="8" t="s">
        <v>51</v>
      </c>
      <c r="B18" s="8" t="s">
        <v>25</v>
      </c>
      <c r="C18" s="8" t="s">
        <v>9</v>
      </c>
      <c r="D18" s="10">
        <v>46162</v>
      </c>
      <c r="E18" s="10">
        <v>46177</v>
      </c>
      <c r="F18" s="9">
        <f t="shared" si="0"/>
        <v>15</v>
      </c>
      <c r="G18" s="9" t="s">
        <v>199</v>
      </c>
      <c r="H18" s="8" t="s">
        <v>11</v>
      </c>
      <c r="I18" s="10">
        <v>46162</v>
      </c>
      <c r="J18" s="8" t="s">
        <v>73</v>
      </c>
      <c r="K18" s="9" t="s">
        <v>3</v>
      </c>
      <c r="L18" s="10">
        <v>46166</v>
      </c>
      <c r="M18" s="8" t="s">
        <v>149</v>
      </c>
      <c r="O18" s="8" t="s">
        <v>148</v>
      </c>
      <c r="P18" s="11">
        <v>4673.42</v>
      </c>
      <c r="Q18" s="12">
        <f>33127.86-28928.87</f>
        <v>4198.9900000000016</v>
      </c>
      <c r="R18" s="11">
        <f>40458.66-28928.87</f>
        <v>11529.790000000005</v>
      </c>
      <c r="S18" s="12">
        <f>4049.72-3459.45</f>
        <v>590.27</v>
      </c>
      <c r="T18" s="11">
        <f>5229.57-3459.45</f>
        <v>1770.12</v>
      </c>
      <c r="U18" s="12">
        <v>0</v>
      </c>
      <c r="V18" s="12">
        <v>0</v>
      </c>
      <c r="W18" s="11">
        <v>46380.56</v>
      </c>
      <c r="X18" s="11">
        <v>10699.83</v>
      </c>
      <c r="Y18" s="13">
        <v>0</v>
      </c>
      <c r="Z18" s="11">
        <v>0</v>
      </c>
      <c r="AA18" s="14">
        <v>0</v>
      </c>
      <c r="AB18" s="13">
        <f>W18+P18+X18</f>
        <v>61753.81</v>
      </c>
      <c r="AC18" s="11">
        <f>W18+P18+Q18+S18+U18+X18</f>
        <v>66543.069999999992</v>
      </c>
      <c r="AD18" s="14">
        <f>W18+P18+R18+T18+V18+X18</f>
        <v>75053.72</v>
      </c>
      <c r="AE18" s="15" t="s">
        <v>85</v>
      </c>
    </row>
    <row r="19" spans="1:31" ht="16" x14ac:dyDescent="0.2">
      <c r="A19" s="8" t="s">
        <v>119</v>
      </c>
      <c r="B19" s="8" t="s">
        <v>25</v>
      </c>
      <c r="C19" s="8" t="s">
        <v>182</v>
      </c>
      <c r="D19" s="10">
        <v>46161</v>
      </c>
      <c r="E19" s="10">
        <v>46176</v>
      </c>
      <c r="F19" s="9">
        <f t="shared" si="0"/>
        <v>15</v>
      </c>
      <c r="G19" s="9" t="s">
        <v>199</v>
      </c>
      <c r="H19" s="8" t="s">
        <v>169</v>
      </c>
      <c r="I19" s="10">
        <v>46161</v>
      </c>
      <c r="J19" s="8" t="s">
        <v>184</v>
      </c>
      <c r="K19" s="9" t="s">
        <v>32</v>
      </c>
      <c r="L19" s="10">
        <v>46164</v>
      </c>
      <c r="M19" s="8" t="s">
        <v>149</v>
      </c>
      <c r="O19" s="8" t="s">
        <v>24</v>
      </c>
      <c r="P19" s="11" t="s">
        <v>19</v>
      </c>
      <c r="Q19" s="12">
        <v>0</v>
      </c>
      <c r="R19" s="11">
        <v>0</v>
      </c>
      <c r="S19" s="12">
        <v>0</v>
      </c>
      <c r="T19" s="11">
        <v>0</v>
      </c>
      <c r="W19" s="11">
        <v>24999.99</v>
      </c>
      <c r="X19" s="11">
        <v>7621.33</v>
      </c>
      <c r="Y19" s="11">
        <f>W19+X19</f>
        <v>32621.32</v>
      </c>
      <c r="Z19" s="11">
        <f>W19+Q19+S19+U19+X19</f>
        <v>32621.32</v>
      </c>
      <c r="AA19" s="11">
        <f>W19+R19+T19+V19+X19</f>
        <v>32621.32</v>
      </c>
      <c r="AB19" s="13">
        <v>0</v>
      </c>
      <c r="AC19" s="11">
        <v>0</v>
      </c>
      <c r="AD19" s="14">
        <v>0</v>
      </c>
      <c r="AE19" s="16" t="s">
        <v>183</v>
      </c>
    </row>
    <row r="20" spans="1:31" ht="16" x14ac:dyDescent="0.2">
      <c r="A20" s="8" t="s">
        <v>17</v>
      </c>
      <c r="B20" s="8" t="s">
        <v>25</v>
      </c>
      <c r="C20" s="8" t="s">
        <v>42</v>
      </c>
      <c r="D20" s="10">
        <v>46161</v>
      </c>
      <c r="E20" s="10">
        <v>46176</v>
      </c>
      <c r="F20" s="9">
        <f t="shared" si="0"/>
        <v>15</v>
      </c>
      <c r="G20" s="9" t="s">
        <v>27</v>
      </c>
      <c r="H20" s="8" t="s">
        <v>2</v>
      </c>
      <c r="I20" s="10">
        <v>46173</v>
      </c>
      <c r="J20" s="8" t="s">
        <v>43</v>
      </c>
      <c r="K20" s="9" t="s">
        <v>31</v>
      </c>
      <c r="L20" s="10">
        <v>46161</v>
      </c>
      <c r="M20" s="8" t="s">
        <v>23</v>
      </c>
      <c r="O20" s="8" t="s">
        <v>24</v>
      </c>
      <c r="P20" s="11" t="s">
        <v>19</v>
      </c>
      <c r="Q20" s="12">
        <v>0</v>
      </c>
      <c r="R20" s="11">
        <v>0</v>
      </c>
      <c r="S20" s="12">
        <v>0</v>
      </c>
      <c r="T20" s="11">
        <v>0</v>
      </c>
      <c r="W20" s="11">
        <v>27975</v>
      </c>
      <c r="X20" s="11">
        <v>7599.62</v>
      </c>
      <c r="Y20" s="11">
        <f>W20+X20</f>
        <v>35574.620000000003</v>
      </c>
      <c r="Z20" s="11">
        <f>W20+Q20+S20+U20+X20</f>
        <v>35574.620000000003</v>
      </c>
      <c r="AA20" s="11">
        <f>W20+R20+T20+V20+X20</f>
        <v>35574.620000000003</v>
      </c>
      <c r="AB20" s="13">
        <v>0</v>
      </c>
      <c r="AC20" s="11">
        <v>0</v>
      </c>
      <c r="AD20" s="14">
        <v>0</v>
      </c>
      <c r="AE20" s="18" t="s">
        <v>93</v>
      </c>
    </row>
    <row r="21" spans="1:31" ht="16" x14ac:dyDescent="0.2">
      <c r="A21" s="8" t="s">
        <v>51</v>
      </c>
      <c r="B21" s="8" t="s">
        <v>25</v>
      </c>
      <c r="C21" s="8" t="s">
        <v>5</v>
      </c>
      <c r="D21" s="10">
        <v>46158</v>
      </c>
      <c r="E21" s="10">
        <v>46174</v>
      </c>
      <c r="F21" s="9">
        <f t="shared" si="0"/>
        <v>16</v>
      </c>
      <c r="G21" s="9" t="s">
        <v>199</v>
      </c>
      <c r="H21" s="8" t="s">
        <v>11</v>
      </c>
      <c r="I21" s="10">
        <v>46158</v>
      </c>
      <c r="J21" s="8" t="s">
        <v>73</v>
      </c>
      <c r="K21" s="9" t="s">
        <v>3</v>
      </c>
      <c r="L21" s="10">
        <v>46162</v>
      </c>
      <c r="M21" s="8" t="s">
        <v>66</v>
      </c>
      <c r="N21" s="10">
        <v>46166</v>
      </c>
      <c r="O21" s="8" t="s">
        <v>148</v>
      </c>
      <c r="P21" s="11">
        <v>4673.42</v>
      </c>
      <c r="Q21" s="12">
        <f>10776.16-8977.84</f>
        <v>1798.3199999999997</v>
      </c>
      <c r="R21" s="11">
        <v>5394.94</v>
      </c>
      <c r="S21" s="12">
        <f>4606.95-3891.78</f>
        <v>715.16999999999962</v>
      </c>
      <c r="T21" s="11">
        <v>2144.13</v>
      </c>
      <c r="U21" s="12">
        <v>0</v>
      </c>
      <c r="V21" s="12">
        <v>0</v>
      </c>
      <c r="W21" s="11">
        <v>32652.44</v>
      </c>
      <c r="X21" s="11">
        <v>10700.39</v>
      </c>
      <c r="Y21" s="13">
        <v>0</v>
      </c>
      <c r="Z21" s="11">
        <v>0</v>
      </c>
      <c r="AA21" s="14">
        <v>0</v>
      </c>
      <c r="AB21" s="13">
        <f>W21+P21+X21</f>
        <v>48026.25</v>
      </c>
      <c r="AC21" s="11">
        <f>W21+P21+Q21+S21+U21+X21</f>
        <v>50539.74</v>
      </c>
      <c r="AD21" s="14">
        <f>W21+P21+R21+T21+V21+X21</f>
        <v>55565.32</v>
      </c>
      <c r="AE21" s="15" t="s">
        <v>74</v>
      </c>
    </row>
    <row r="22" spans="1:31" x14ac:dyDescent="0.2">
      <c r="A22" s="8" t="s">
        <v>51</v>
      </c>
      <c r="B22" s="8" t="s">
        <v>25</v>
      </c>
      <c r="C22" s="8" t="s">
        <v>7</v>
      </c>
      <c r="D22" s="10">
        <v>46158</v>
      </c>
      <c r="E22" s="10">
        <v>46174</v>
      </c>
      <c r="F22" s="9">
        <f t="shared" si="0"/>
        <v>16</v>
      </c>
      <c r="G22" s="9" t="s">
        <v>199</v>
      </c>
      <c r="H22" s="8" t="s">
        <v>61</v>
      </c>
      <c r="I22" s="10">
        <v>46158</v>
      </c>
      <c r="J22" s="8" t="s">
        <v>72</v>
      </c>
      <c r="K22" s="9" t="s">
        <v>3</v>
      </c>
      <c r="L22" s="10">
        <v>46162</v>
      </c>
      <c r="M22" s="8" t="s">
        <v>65</v>
      </c>
      <c r="N22" s="10">
        <v>46166</v>
      </c>
      <c r="O22" s="8" t="s">
        <v>24</v>
      </c>
      <c r="P22" s="11" t="s">
        <v>19</v>
      </c>
      <c r="R22" s="11">
        <v>4887.1100000000006</v>
      </c>
      <c r="U22" s="12">
        <v>0</v>
      </c>
      <c r="V22" s="12">
        <v>0</v>
      </c>
      <c r="W22" s="11">
        <v>28666.6</v>
      </c>
      <c r="X22" s="11">
        <v>10627</v>
      </c>
      <c r="Y22" s="13">
        <f>W22+X22</f>
        <v>39293.599999999999</v>
      </c>
      <c r="Z22" s="11">
        <f>W22+Q22+S22+U22+X22</f>
        <v>39293.599999999999</v>
      </c>
      <c r="AA22" s="14">
        <f>W22+R22+T22+V22+X22</f>
        <v>44180.71</v>
      </c>
      <c r="AB22" s="11">
        <v>0</v>
      </c>
      <c r="AC22" s="11">
        <v>0</v>
      </c>
      <c r="AD22" s="11">
        <v>0</v>
      </c>
    </row>
    <row r="23" spans="1:31" ht="16" x14ac:dyDescent="0.2">
      <c r="A23" s="8" t="s">
        <v>17</v>
      </c>
      <c r="B23" s="8" t="s">
        <v>110</v>
      </c>
      <c r="C23" s="8" t="s">
        <v>156</v>
      </c>
      <c r="D23" s="10">
        <v>46160</v>
      </c>
      <c r="E23" s="10">
        <v>46176</v>
      </c>
      <c r="F23" s="9">
        <f t="shared" si="0"/>
        <v>16</v>
      </c>
      <c r="G23" s="9" t="s">
        <v>199</v>
      </c>
      <c r="H23" s="8" t="s">
        <v>158</v>
      </c>
      <c r="I23" s="10">
        <v>46160</v>
      </c>
      <c r="J23" s="8" t="s">
        <v>111</v>
      </c>
      <c r="K23" s="9" t="s">
        <v>32</v>
      </c>
      <c r="L23" s="10">
        <v>46163</v>
      </c>
      <c r="M23" s="8" t="s">
        <v>149</v>
      </c>
      <c r="O23" s="8" t="s">
        <v>24</v>
      </c>
      <c r="P23" s="11" t="s">
        <v>19</v>
      </c>
      <c r="Q23" s="12">
        <f>9154.23-7151.69</f>
        <v>2002.54</v>
      </c>
      <c r="R23" s="11">
        <f>13142.86-7151.69</f>
        <v>5991.170000000001</v>
      </c>
      <c r="S23" s="12">
        <f>3726.37-2977.56</f>
        <v>748.81</v>
      </c>
      <c r="T23" s="11">
        <f>5261.27-2977.56</f>
        <v>2283.7100000000005</v>
      </c>
      <c r="W23" s="11">
        <v>24415</v>
      </c>
      <c r="X23" s="11">
        <v>6188.27</v>
      </c>
      <c r="Y23" s="13">
        <f>W23+X23</f>
        <v>30603.27</v>
      </c>
      <c r="Z23" s="11">
        <f>W23+Q23+S23+U23+X23</f>
        <v>33354.620000000003</v>
      </c>
      <c r="AA23" s="14">
        <f>W23+R23+T23+V23+X23</f>
        <v>38878.15</v>
      </c>
      <c r="AB23" s="11">
        <v>0</v>
      </c>
      <c r="AC23" s="11">
        <v>0</v>
      </c>
      <c r="AD23" s="11">
        <v>0</v>
      </c>
      <c r="AE23" s="16" t="s">
        <v>157</v>
      </c>
    </row>
    <row r="24" spans="1:31" ht="16" x14ac:dyDescent="0.2">
      <c r="A24" s="8" t="s">
        <v>51</v>
      </c>
      <c r="B24" s="8" t="s">
        <v>25</v>
      </c>
      <c r="C24" s="8" t="s">
        <v>55</v>
      </c>
      <c r="D24" s="10">
        <v>46161</v>
      </c>
      <c r="E24" s="10">
        <v>46177</v>
      </c>
      <c r="F24" s="9">
        <f t="shared" si="0"/>
        <v>16</v>
      </c>
      <c r="G24" s="9" t="s">
        <v>27</v>
      </c>
      <c r="H24" s="8" t="s">
        <v>61</v>
      </c>
      <c r="I24" s="10">
        <v>46173</v>
      </c>
      <c r="J24" s="8" t="s">
        <v>64</v>
      </c>
      <c r="K24" s="9" t="s">
        <v>3</v>
      </c>
      <c r="L24" s="10">
        <v>46161</v>
      </c>
      <c r="M24" s="8" t="s">
        <v>66</v>
      </c>
      <c r="N24" s="10">
        <v>46165</v>
      </c>
      <c r="O24" s="8" t="s">
        <v>148</v>
      </c>
      <c r="P24" s="11">
        <v>4673.42</v>
      </c>
      <c r="Q24" s="12">
        <f>7296.69-6122.05</f>
        <v>1174.6399999999994</v>
      </c>
      <c r="R24" s="11">
        <f>9646.02-6122.05</f>
        <v>3523.9700000000003</v>
      </c>
      <c r="S24" s="12">
        <f>2569.63-1996.05</f>
        <v>573.58000000000015</v>
      </c>
      <c r="T24" s="11">
        <f>3716.77-1996.05</f>
        <v>1720.72</v>
      </c>
      <c r="U24" s="12">
        <v>0</v>
      </c>
      <c r="V24" s="12">
        <v>0</v>
      </c>
      <c r="W24" s="11">
        <v>28547.58</v>
      </c>
      <c r="X24" s="11">
        <v>10700.39</v>
      </c>
      <c r="Y24" s="13">
        <v>0</v>
      </c>
      <c r="Z24" s="11">
        <v>0</v>
      </c>
      <c r="AA24" s="14">
        <v>0</v>
      </c>
      <c r="AB24" s="13">
        <f>W24+P24+X24</f>
        <v>43921.39</v>
      </c>
      <c r="AC24" s="11">
        <f>W24+P24+Q24+S24+U24+X24</f>
        <v>45669.61</v>
      </c>
      <c r="AD24" s="14">
        <f>W24+P24+R24+T24+V24+X24</f>
        <v>49166.080000000002</v>
      </c>
      <c r="AE24" s="15" t="s">
        <v>75</v>
      </c>
    </row>
    <row r="25" spans="1:31" ht="16" x14ac:dyDescent="0.2">
      <c r="A25" s="8" t="s">
        <v>51</v>
      </c>
      <c r="B25" s="8" t="s">
        <v>25</v>
      </c>
      <c r="C25" s="8" t="s">
        <v>52</v>
      </c>
      <c r="D25" s="10">
        <v>46162</v>
      </c>
      <c r="E25" s="10">
        <v>46178</v>
      </c>
      <c r="F25" s="9">
        <f t="shared" si="0"/>
        <v>16</v>
      </c>
      <c r="G25" s="9" t="s">
        <v>27</v>
      </c>
      <c r="H25" s="8" t="s">
        <v>60</v>
      </c>
      <c r="I25" s="10">
        <v>46174</v>
      </c>
      <c r="J25" s="8" t="s">
        <v>63</v>
      </c>
      <c r="K25" s="9" t="s">
        <v>16</v>
      </c>
      <c r="L25" s="10">
        <v>46162</v>
      </c>
      <c r="M25" s="8" t="s">
        <v>149</v>
      </c>
      <c r="O25" s="8" t="s">
        <v>24</v>
      </c>
      <c r="P25" s="11" t="s">
        <v>19</v>
      </c>
      <c r="Q25" s="12">
        <f>9166.14-7268.32</f>
        <v>1897.8199999999997</v>
      </c>
      <c r="R25" s="11">
        <f>12840.69-7268.32</f>
        <v>5572.3700000000008</v>
      </c>
      <c r="S25" s="12">
        <f>4032.11-3318.15</f>
        <v>713.96</v>
      </c>
      <c r="T25" s="11">
        <f>5473.51-3318.15</f>
        <v>2155.36</v>
      </c>
      <c r="W25" s="11">
        <v>26518.65</v>
      </c>
      <c r="X25" s="11">
        <v>8079.53</v>
      </c>
      <c r="Y25" s="13">
        <f t="shared" ref="Y25:Y41" si="1">W25+X25</f>
        <v>34598.18</v>
      </c>
      <c r="Z25" s="11">
        <f t="shared" ref="Z25:Z41" si="2">W25+Q25+S25+U25+X25</f>
        <v>37209.96</v>
      </c>
      <c r="AA25" s="14">
        <f t="shared" ref="AA25:AA41" si="3">W25+R25+T25+V25+X25</f>
        <v>42325.91</v>
      </c>
      <c r="AB25" s="13">
        <v>0</v>
      </c>
      <c r="AC25" s="11">
        <v>0</v>
      </c>
      <c r="AD25" s="14">
        <v>0</v>
      </c>
      <c r="AE25" s="15" t="s">
        <v>78</v>
      </c>
    </row>
    <row r="26" spans="1:31" ht="16" x14ac:dyDescent="0.2">
      <c r="A26" s="8" t="s">
        <v>17</v>
      </c>
      <c r="B26" s="8" t="s">
        <v>25</v>
      </c>
      <c r="C26" s="8" t="s">
        <v>37</v>
      </c>
      <c r="D26" s="10">
        <v>46160</v>
      </c>
      <c r="E26" s="10">
        <v>46176</v>
      </c>
      <c r="F26" s="9">
        <f t="shared" si="0"/>
        <v>16</v>
      </c>
      <c r="G26" s="9" t="s">
        <v>27</v>
      </c>
      <c r="H26" s="8" t="s">
        <v>125</v>
      </c>
      <c r="I26" s="10">
        <v>46173</v>
      </c>
      <c r="J26" s="8" t="s">
        <v>126</v>
      </c>
      <c r="K26" s="9" t="s">
        <v>32</v>
      </c>
      <c r="L26" s="10">
        <v>46160</v>
      </c>
      <c r="M26" s="8" t="s">
        <v>149</v>
      </c>
      <c r="O26" s="8" t="s">
        <v>24</v>
      </c>
      <c r="P26" s="11" t="s">
        <v>19</v>
      </c>
      <c r="Q26" s="12">
        <f>7151.21-5655.39</f>
        <v>1495.8199999999997</v>
      </c>
      <c r="R26" s="11">
        <f>10143.14-5655.39</f>
        <v>4487.7499999999991</v>
      </c>
      <c r="S26" s="12">
        <f>2685.68-2102.05</f>
        <v>583.62999999999965</v>
      </c>
      <c r="T26" s="11">
        <f>3853.05-2102.05</f>
        <v>1751</v>
      </c>
      <c r="W26" s="11">
        <v>23520</v>
      </c>
      <c r="X26" s="11">
        <v>7599.62</v>
      </c>
      <c r="Y26" s="13">
        <f t="shared" si="1"/>
        <v>31119.62</v>
      </c>
      <c r="Z26" s="11">
        <f t="shared" si="2"/>
        <v>33199.07</v>
      </c>
      <c r="AA26" s="14">
        <f t="shared" si="3"/>
        <v>37358.370000000003</v>
      </c>
      <c r="AB26" s="13">
        <v>0</v>
      </c>
      <c r="AC26" s="11">
        <v>0</v>
      </c>
      <c r="AD26" s="14">
        <v>0</v>
      </c>
      <c r="AE26" s="16" t="s">
        <v>91</v>
      </c>
    </row>
    <row r="27" spans="1:31" ht="16" x14ac:dyDescent="0.2">
      <c r="A27" s="8" t="s">
        <v>17</v>
      </c>
      <c r="B27" s="8" t="s">
        <v>25</v>
      </c>
      <c r="C27" s="8" t="s">
        <v>39</v>
      </c>
      <c r="D27" s="10">
        <v>46160</v>
      </c>
      <c r="E27" s="10">
        <v>46176</v>
      </c>
      <c r="F27" s="9">
        <f t="shared" si="0"/>
        <v>16</v>
      </c>
      <c r="G27" s="9" t="s">
        <v>27</v>
      </c>
      <c r="H27" s="8" t="s">
        <v>40</v>
      </c>
      <c r="I27" s="10">
        <v>46173</v>
      </c>
      <c r="J27" s="8" t="s">
        <v>41</v>
      </c>
      <c r="K27" s="9" t="s">
        <v>32</v>
      </c>
      <c r="L27" s="10">
        <v>46160</v>
      </c>
      <c r="M27" s="8" t="s">
        <v>149</v>
      </c>
      <c r="N27" s="8"/>
      <c r="O27" s="8" t="s">
        <v>24</v>
      </c>
      <c r="P27" s="11" t="s">
        <v>19</v>
      </c>
      <c r="Q27" s="12">
        <f>6248.33-4954.51</f>
        <v>1293.8199999999997</v>
      </c>
      <c r="R27" s="11">
        <f>8792.88-4954.51</f>
        <v>3838.369999999999</v>
      </c>
      <c r="S27" s="12">
        <f>3579.12-2890.81</f>
        <v>688.31</v>
      </c>
      <c r="T27" s="11">
        <f>4885.49-2890.81</f>
        <v>1994.6799999999998</v>
      </c>
      <c r="W27" s="11">
        <v>23935</v>
      </c>
      <c r="X27" s="11">
        <v>7600</v>
      </c>
      <c r="Y27" s="13">
        <f t="shared" si="1"/>
        <v>31535</v>
      </c>
      <c r="Z27" s="11">
        <f t="shared" si="2"/>
        <v>33517.130000000005</v>
      </c>
      <c r="AA27" s="14">
        <f t="shared" si="3"/>
        <v>37368.050000000003</v>
      </c>
      <c r="AB27" s="13">
        <v>0</v>
      </c>
      <c r="AC27" s="11">
        <v>0</v>
      </c>
      <c r="AD27" s="14">
        <v>0</v>
      </c>
      <c r="AE27" s="18" t="s">
        <v>86</v>
      </c>
    </row>
    <row r="28" spans="1:31" ht="16" x14ac:dyDescent="0.2">
      <c r="A28" s="8" t="s">
        <v>17</v>
      </c>
      <c r="B28" s="8" t="s">
        <v>25</v>
      </c>
      <c r="C28" s="8" t="s">
        <v>15</v>
      </c>
      <c r="D28" s="19">
        <v>46163</v>
      </c>
      <c r="E28" s="19">
        <v>46179</v>
      </c>
      <c r="F28" s="9">
        <f t="shared" si="0"/>
        <v>16</v>
      </c>
      <c r="G28" s="9" t="s">
        <v>199</v>
      </c>
      <c r="H28" s="8" t="s">
        <v>26</v>
      </c>
      <c r="I28" s="10">
        <v>46163</v>
      </c>
      <c r="J28" s="8" t="s">
        <v>36</v>
      </c>
      <c r="K28" s="9" t="s">
        <v>3</v>
      </c>
      <c r="L28" s="10">
        <v>46174</v>
      </c>
      <c r="M28" s="8" t="s">
        <v>28</v>
      </c>
      <c r="N28" s="10">
        <v>46166</v>
      </c>
      <c r="O28" s="8" t="s">
        <v>24</v>
      </c>
      <c r="P28" s="11" t="s">
        <v>19</v>
      </c>
      <c r="Q28" s="12">
        <v>0</v>
      </c>
      <c r="R28" s="11">
        <v>0</v>
      </c>
      <c r="S28" s="12">
        <v>0</v>
      </c>
      <c r="T28" s="11">
        <v>0</v>
      </c>
      <c r="U28" s="12">
        <v>0</v>
      </c>
      <c r="V28" s="12">
        <v>0</v>
      </c>
      <c r="W28" s="11">
        <v>25691.84</v>
      </c>
      <c r="X28" s="11">
        <v>11348.31</v>
      </c>
      <c r="Y28" s="13">
        <f t="shared" si="1"/>
        <v>37040.15</v>
      </c>
      <c r="Z28" s="11">
        <f t="shared" si="2"/>
        <v>37040.15</v>
      </c>
      <c r="AA28" s="14">
        <f t="shared" si="3"/>
        <v>37040.15</v>
      </c>
      <c r="AB28" s="13">
        <v>0</v>
      </c>
      <c r="AC28" s="11">
        <v>0</v>
      </c>
      <c r="AD28" s="14">
        <v>0</v>
      </c>
      <c r="AE28" s="15" t="s">
        <v>29</v>
      </c>
    </row>
    <row r="29" spans="1:31" ht="16" x14ac:dyDescent="0.2">
      <c r="A29" s="8" t="s">
        <v>119</v>
      </c>
      <c r="B29" s="8" t="s">
        <v>25</v>
      </c>
      <c r="C29" s="8" t="s">
        <v>208</v>
      </c>
      <c r="D29" s="10">
        <v>46163</v>
      </c>
      <c r="E29" s="10">
        <v>46179</v>
      </c>
      <c r="F29" s="9">
        <f t="shared" si="0"/>
        <v>16</v>
      </c>
      <c r="G29" s="9" t="s">
        <v>199</v>
      </c>
      <c r="H29" s="8" t="s">
        <v>210</v>
      </c>
      <c r="I29" s="10">
        <v>46163</v>
      </c>
      <c r="J29" s="8" t="s">
        <v>114</v>
      </c>
      <c r="K29" s="9" t="s">
        <v>3</v>
      </c>
      <c r="L29" s="10">
        <v>46173</v>
      </c>
      <c r="M29" s="8" t="s">
        <v>122</v>
      </c>
      <c r="N29" s="10">
        <v>46166</v>
      </c>
      <c r="O29" s="8" t="s">
        <v>24</v>
      </c>
      <c r="P29" s="11" t="s">
        <v>19</v>
      </c>
      <c r="Q29" s="12">
        <f>6748.74-5483.37</f>
        <v>1265.3699999999999</v>
      </c>
      <c r="R29" s="11">
        <f>9279.52-5483.37</f>
        <v>3796.1500000000005</v>
      </c>
      <c r="S29" s="12">
        <v>0</v>
      </c>
      <c r="T29" s="11">
        <v>0</v>
      </c>
      <c r="U29" s="12">
        <v>0</v>
      </c>
      <c r="V29" s="12">
        <v>0</v>
      </c>
      <c r="W29" s="11">
        <v>34523.199999999997</v>
      </c>
      <c r="X29" s="11">
        <v>7491.06</v>
      </c>
      <c r="Y29" s="13">
        <f t="shared" si="1"/>
        <v>42014.259999999995</v>
      </c>
      <c r="Z29" s="11">
        <f t="shared" si="2"/>
        <v>43279.63</v>
      </c>
      <c r="AA29" s="14">
        <f t="shared" si="3"/>
        <v>45810.409999999996</v>
      </c>
      <c r="AB29" s="13">
        <v>0</v>
      </c>
      <c r="AC29" s="11">
        <v>0</v>
      </c>
      <c r="AD29" s="14">
        <v>0</v>
      </c>
      <c r="AE29" s="16" t="s">
        <v>209</v>
      </c>
    </row>
    <row r="30" spans="1:31" ht="16" x14ac:dyDescent="0.2">
      <c r="A30" s="8" t="s">
        <v>51</v>
      </c>
      <c r="B30" s="8" t="s">
        <v>30</v>
      </c>
      <c r="C30" s="8" t="s">
        <v>10</v>
      </c>
      <c r="D30" s="10">
        <v>46157</v>
      </c>
      <c r="E30" s="10">
        <v>46174</v>
      </c>
      <c r="F30" s="9">
        <f t="shared" si="0"/>
        <v>17</v>
      </c>
      <c r="G30" s="9" t="s">
        <v>199</v>
      </c>
      <c r="H30" s="8" t="s">
        <v>11</v>
      </c>
      <c r="I30" s="10">
        <v>46157</v>
      </c>
      <c r="J30" s="8" t="s">
        <v>64</v>
      </c>
      <c r="K30" s="9" t="s">
        <v>3</v>
      </c>
      <c r="L30" s="10">
        <v>46161</v>
      </c>
      <c r="M30" s="8" t="s">
        <v>71</v>
      </c>
      <c r="N30" s="10">
        <v>46165</v>
      </c>
      <c r="O30" s="8" t="s">
        <v>24</v>
      </c>
      <c r="P30" s="11" t="s">
        <v>19</v>
      </c>
      <c r="Q30" s="12">
        <f>8360.78-7014.87</f>
        <v>1345.9100000000008</v>
      </c>
      <c r="R30" s="11">
        <f>10047.93-7014.87</f>
        <v>3033.0600000000004</v>
      </c>
      <c r="S30" s="12">
        <f>4049.72-3459.45</f>
        <v>590.27</v>
      </c>
      <c r="T30" s="11">
        <f>5229.57-3459.45</f>
        <v>1770.12</v>
      </c>
      <c r="U30" s="12">
        <v>0</v>
      </c>
      <c r="V30" s="12">
        <v>0</v>
      </c>
      <c r="W30" s="11">
        <v>30267.4</v>
      </c>
      <c r="X30" s="11">
        <v>10600.3</v>
      </c>
      <c r="Y30" s="13">
        <f t="shared" si="1"/>
        <v>40867.699999999997</v>
      </c>
      <c r="Z30" s="11">
        <f t="shared" si="2"/>
        <v>42803.880000000005</v>
      </c>
      <c r="AA30" s="14">
        <f t="shared" si="3"/>
        <v>45670.880000000005</v>
      </c>
      <c r="AB30" s="13">
        <v>0</v>
      </c>
      <c r="AC30" s="11">
        <v>0</v>
      </c>
      <c r="AD30" s="14">
        <v>0</v>
      </c>
      <c r="AE30" s="15" t="s">
        <v>75</v>
      </c>
    </row>
    <row r="31" spans="1:31" ht="16" x14ac:dyDescent="0.2">
      <c r="A31" s="8" t="s">
        <v>51</v>
      </c>
      <c r="B31" s="8" t="s">
        <v>25</v>
      </c>
      <c r="C31" s="8" t="s">
        <v>6</v>
      </c>
      <c r="D31" s="10">
        <v>46162</v>
      </c>
      <c r="E31" s="10">
        <v>46179</v>
      </c>
      <c r="F31" s="9">
        <f t="shared" si="0"/>
        <v>17</v>
      </c>
      <c r="G31" s="9" t="s">
        <v>199</v>
      </c>
      <c r="H31" s="8" t="s">
        <v>61</v>
      </c>
      <c r="I31" s="10">
        <v>46162</v>
      </c>
      <c r="J31" s="8" t="s">
        <v>64</v>
      </c>
      <c r="K31" s="9" t="s">
        <v>3</v>
      </c>
      <c r="L31" s="10">
        <v>46174</v>
      </c>
      <c r="M31" s="8" t="s">
        <v>65</v>
      </c>
      <c r="N31" s="10">
        <v>46165</v>
      </c>
      <c r="O31" s="8" t="s">
        <v>24</v>
      </c>
      <c r="P31" s="11" t="s">
        <v>19</v>
      </c>
      <c r="Q31" s="12">
        <f>6384.6-5356.81</f>
        <v>1027.79</v>
      </c>
      <c r="R31" s="11">
        <f>8440.29-5356.81</f>
        <v>3083.4800000000005</v>
      </c>
      <c r="S31" s="12">
        <f>1927.23-1497.04</f>
        <v>430.19000000000005</v>
      </c>
      <c r="T31" s="11">
        <f>2787.59-1497.04</f>
        <v>1290.5500000000002</v>
      </c>
      <c r="U31" s="12">
        <v>0</v>
      </c>
      <c r="V31" s="12">
        <v>0</v>
      </c>
      <c r="W31" s="11">
        <v>27904.19</v>
      </c>
      <c r="X31" s="11">
        <v>10627</v>
      </c>
      <c r="Y31" s="13">
        <f t="shared" si="1"/>
        <v>38531.19</v>
      </c>
      <c r="Z31" s="11">
        <f t="shared" si="2"/>
        <v>39989.17</v>
      </c>
      <c r="AA31" s="14">
        <f t="shared" si="3"/>
        <v>42905.22</v>
      </c>
      <c r="AB31" s="13">
        <v>0</v>
      </c>
      <c r="AC31" s="11">
        <v>0</v>
      </c>
      <c r="AD31" s="14">
        <v>0</v>
      </c>
      <c r="AE31" s="15" t="s">
        <v>76</v>
      </c>
    </row>
    <row r="32" spans="1:31" ht="16" x14ac:dyDescent="0.2">
      <c r="A32" s="8" t="s">
        <v>51</v>
      </c>
      <c r="B32" s="8" t="s">
        <v>25</v>
      </c>
      <c r="C32" s="8" t="s">
        <v>4</v>
      </c>
      <c r="D32" s="10">
        <v>46162</v>
      </c>
      <c r="E32" s="10">
        <v>46179</v>
      </c>
      <c r="F32" s="9">
        <f t="shared" si="0"/>
        <v>17</v>
      </c>
      <c r="G32" s="9" t="s">
        <v>199</v>
      </c>
      <c r="H32" s="8" t="s">
        <v>60</v>
      </c>
      <c r="I32" s="10">
        <v>46162</v>
      </c>
      <c r="J32" s="8" t="s">
        <v>72</v>
      </c>
      <c r="K32" s="9" t="s">
        <v>3</v>
      </c>
      <c r="L32" s="10">
        <v>46166</v>
      </c>
      <c r="M32" s="8" t="s">
        <v>149</v>
      </c>
      <c r="O32" s="8" t="s">
        <v>24</v>
      </c>
      <c r="P32" s="11" t="s">
        <v>19</v>
      </c>
      <c r="Q32" s="12">
        <f>22947.62-19319.66</f>
        <v>3627.9599999999991</v>
      </c>
      <c r="R32" s="11">
        <f>29288.75-19319.66</f>
        <v>9969.09</v>
      </c>
      <c r="S32" s="12">
        <f>3571.22-3027.11</f>
        <v>544.10999999999967</v>
      </c>
      <c r="T32" s="11">
        <f>4658.05-3027.11</f>
        <v>1630.94</v>
      </c>
      <c r="W32" s="11">
        <v>36339.01</v>
      </c>
      <c r="X32" s="11">
        <v>10700.39</v>
      </c>
      <c r="Y32" s="13">
        <f t="shared" si="1"/>
        <v>47039.4</v>
      </c>
      <c r="Z32" s="11">
        <f t="shared" si="2"/>
        <v>51211.47</v>
      </c>
      <c r="AA32" s="14">
        <f t="shared" si="3"/>
        <v>58639.430000000008</v>
      </c>
      <c r="AB32" s="13">
        <v>0</v>
      </c>
      <c r="AC32" s="11">
        <v>0</v>
      </c>
      <c r="AD32" s="14">
        <v>0</v>
      </c>
      <c r="AE32" s="15" t="s">
        <v>82</v>
      </c>
    </row>
    <row r="33" spans="1:31" ht="16" x14ac:dyDescent="0.2">
      <c r="A33" s="8" t="s">
        <v>119</v>
      </c>
      <c r="B33" s="8" t="s">
        <v>25</v>
      </c>
      <c r="C33" s="8" t="s">
        <v>185</v>
      </c>
      <c r="D33" s="10">
        <v>46159</v>
      </c>
      <c r="E33" s="10">
        <v>46176</v>
      </c>
      <c r="F33" s="9">
        <f t="shared" si="0"/>
        <v>17</v>
      </c>
      <c r="G33" s="9" t="s">
        <v>199</v>
      </c>
      <c r="H33" s="8" t="s">
        <v>173</v>
      </c>
      <c r="I33" s="10">
        <v>46159</v>
      </c>
      <c r="J33" s="8" t="s">
        <v>184</v>
      </c>
      <c r="K33" s="9" t="s">
        <v>32</v>
      </c>
      <c r="L33" s="10">
        <v>46162</v>
      </c>
      <c r="M33" s="8" t="s">
        <v>149</v>
      </c>
      <c r="O33" s="8" t="s">
        <v>24</v>
      </c>
      <c r="P33" s="11" t="s">
        <v>19</v>
      </c>
      <c r="Q33" s="12">
        <v>0</v>
      </c>
      <c r="R33" s="11">
        <v>0</v>
      </c>
      <c r="S33" s="12">
        <v>0</v>
      </c>
      <c r="T33" s="11">
        <v>0</v>
      </c>
      <c r="W33" s="11">
        <v>24999.99</v>
      </c>
      <c r="X33" s="11">
        <v>7599.62</v>
      </c>
      <c r="Y33" s="13">
        <f t="shared" si="1"/>
        <v>32599.61</v>
      </c>
      <c r="Z33" s="11">
        <f t="shared" si="2"/>
        <v>32599.61</v>
      </c>
      <c r="AA33" s="14">
        <f t="shared" si="3"/>
        <v>32599.61</v>
      </c>
      <c r="AB33" s="13">
        <v>0</v>
      </c>
      <c r="AC33" s="11">
        <v>0</v>
      </c>
      <c r="AD33" s="14">
        <v>0</v>
      </c>
      <c r="AE33" s="16" t="s">
        <v>186</v>
      </c>
    </row>
    <row r="34" spans="1:31" ht="16" x14ac:dyDescent="0.2">
      <c r="A34" s="8" t="s">
        <v>119</v>
      </c>
      <c r="B34" s="8" t="s">
        <v>25</v>
      </c>
      <c r="C34" s="8" t="s">
        <v>196</v>
      </c>
      <c r="D34" s="10">
        <v>46162</v>
      </c>
      <c r="E34" s="10">
        <v>46179</v>
      </c>
      <c r="F34" s="9">
        <f t="shared" ref="F34:F65" si="4">E34-D34</f>
        <v>17</v>
      </c>
      <c r="G34" s="9" t="s">
        <v>199</v>
      </c>
      <c r="H34" s="8" t="s">
        <v>198</v>
      </c>
      <c r="I34" s="10">
        <v>46162</v>
      </c>
      <c r="J34" s="8" t="s">
        <v>191</v>
      </c>
      <c r="K34" s="9" t="s">
        <v>32</v>
      </c>
      <c r="L34" s="10">
        <v>46165</v>
      </c>
      <c r="M34" s="8" t="s">
        <v>149</v>
      </c>
      <c r="O34" s="8" t="s">
        <v>24</v>
      </c>
      <c r="P34" s="11" t="s">
        <v>19</v>
      </c>
      <c r="Q34" s="12">
        <v>0</v>
      </c>
      <c r="R34" s="11">
        <f>10985.08-6542.88</f>
        <v>4442.2</v>
      </c>
      <c r="S34" s="12">
        <f>3163.48-2794.41</f>
        <v>369.07000000000016</v>
      </c>
      <c r="T34" s="11">
        <v>0</v>
      </c>
      <c r="W34" s="11">
        <v>25592.78</v>
      </c>
      <c r="X34" s="11">
        <v>6188.27</v>
      </c>
      <c r="Y34" s="13">
        <f t="shared" si="1"/>
        <v>31781.05</v>
      </c>
      <c r="Z34" s="11">
        <f t="shared" si="2"/>
        <v>32150.12</v>
      </c>
      <c r="AA34" s="14">
        <f t="shared" si="3"/>
        <v>36223.25</v>
      </c>
      <c r="AB34" s="13">
        <v>0</v>
      </c>
      <c r="AC34" s="11">
        <v>0</v>
      </c>
      <c r="AD34" s="14">
        <v>0</v>
      </c>
      <c r="AE34" s="16" t="s">
        <v>197</v>
      </c>
    </row>
    <row r="35" spans="1:31" ht="16" x14ac:dyDescent="0.2">
      <c r="A35" s="8" t="s">
        <v>119</v>
      </c>
      <c r="B35" s="8" t="s">
        <v>25</v>
      </c>
      <c r="C35" s="8" t="s">
        <v>120</v>
      </c>
      <c r="D35" s="10">
        <v>46156</v>
      </c>
      <c r="E35" s="10">
        <v>46174</v>
      </c>
      <c r="F35" s="9">
        <f t="shared" si="4"/>
        <v>18</v>
      </c>
      <c r="G35" s="9" t="s">
        <v>199</v>
      </c>
      <c r="H35" s="8" t="s">
        <v>121</v>
      </c>
      <c r="I35" s="10">
        <v>46156</v>
      </c>
      <c r="J35" s="8" t="s">
        <v>18</v>
      </c>
      <c r="K35" s="9" t="s">
        <v>3</v>
      </c>
      <c r="L35" s="10">
        <v>46160</v>
      </c>
      <c r="M35" s="8" t="s">
        <v>122</v>
      </c>
      <c r="N35" s="10">
        <v>46163</v>
      </c>
      <c r="O35" s="8" t="s">
        <v>24</v>
      </c>
      <c r="P35" s="11" t="s">
        <v>19</v>
      </c>
      <c r="Q35" s="12">
        <f>1921.53-1850.64</f>
        <v>70.889999999999873</v>
      </c>
      <c r="R35" s="11">
        <v>328.65</v>
      </c>
      <c r="S35" s="12">
        <f>4405.42-4366.63</f>
        <v>38.789999999999964</v>
      </c>
      <c r="T35" s="11">
        <v>202.84</v>
      </c>
      <c r="U35" s="12">
        <v>0</v>
      </c>
      <c r="V35" s="12">
        <v>0</v>
      </c>
      <c r="W35" s="11">
        <v>33499.99</v>
      </c>
      <c r="X35" s="11">
        <v>10737.18</v>
      </c>
      <c r="Y35" s="13">
        <f t="shared" si="1"/>
        <v>44237.17</v>
      </c>
      <c r="Z35" s="11">
        <f t="shared" si="2"/>
        <v>44346.85</v>
      </c>
      <c r="AA35" s="14">
        <f t="shared" si="3"/>
        <v>44768.659999999996</v>
      </c>
      <c r="AB35" s="13">
        <v>0</v>
      </c>
      <c r="AC35" s="11">
        <v>0</v>
      </c>
      <c r="AD35" s="14">
        <v>0</v>
      </c>
      <c r="AE35" s="16" t="s">
        <v>118</v>
      </c>
    </row>
    <row r="36" spans="1:31" ht="16" x14ac:dyDescent="0.2">
      <c r="A36" s="8" t="s">
        <v>119</v>
      </c>
      <c r="B36" s="8" t="s">
        <v>25</v>
      </c>
      <c r="C36" s="8" t="s">
        <v>124</v>
      </c>
      <c r="D36" s="10">
        <v>46157</v>
      </c>
      <c r="E36" s="10">
        <v>46175</v>
      </c>
      <c r="F36" s="9">
        <f t="shared" si="4"/>
        <v>18</v>
      </c>
      <c r="G36" s="9" t="s">
        <v>199</v>
      </c>
      <c r="H36" s="8" t="s">
        <v>121</v>
      </c>
      <c r="I36" s="10">
        <v>46157</v>
      </c>
      <c r="J36" s="8" t="s">
        <v>18</v>
      </c>
      <c r="K36" s="9" t="s">
        <v>3</v>
      </c>
      <c r="L36" s="10">
        <v>46160</v>
      </c>
      <c r="M36" s="8" t="s">
        <v>122</v>
      </c>
      <c r="N36" s="10">
        <v>46163</v>
      </c>
      <c r="O36" s="8" t="s">
        <v>24</v>
      </c>
      <c r="P36" s="11" t="s">
        <v>19</v>
      </c>
      <c r="Q36" s="12">
        <f>1921.53-1850.64</f>
        <v>70.889999999999873</v>
      </c>
      <c r="R36" s="11">
        <v>328.65</v>
      </c>
      <c r="S36" s="12">
        <f>3291.07-3275.96</f>
        <v>15.110000000000127</v>
      </c>
      <c r="T36" s="11">
        <v>168.72</v>
      </c>
      <c r="U36" s="12">
        <v>0</v>
      </c>
      <c r="V36" s="12">
        <v>0</v>
      </c>
      <c r="W36" s="11">
        <v>32400</v>
      </c>
      <c r="X36" s="11">
        <v>10737.18</v>
      </c>
      <c r="Y36" s="13">
        <f t="shared" si="1"/>
        <v>43137.18</v>
      </c>
      <c r="Z36" s="11">
        <f t="shared" si="2"/>
        <v>43223.18</v>
      </c>
      <c r="AA36" s="14">
        <f t="shared" si="3"/>
        <v>43634.55</v>
      </c>
      <c r="AB36" s="13">
        <v>0</v>
      </c>
      <c r="AC36" s="11">
        <v>0</v>
      </c>
      <c r="AD36" s="14">
        <v>0</v>
      </c>
      <c r="AE36" s="16" t="s">
        <v>123</v>
      </c>
    </row>
    <row r="37" spans="1:31" x14ac:dyDescent="0.2">
      <c r="A37" s="8" t="s">
        <v>51</v>
      </c>
      <c r="B37" s="8" t="s">
        <v>25</v>
      </c>
      <c r="C37" s="8" t="s">
        <v>59</v>
      </c>
      <c r="D37" s="10">
        <v>46165</v>
      </c>
      <c r="E37" s="10">
        <v>46183</v>
      </c>
      <c r="F37" s="9">
        <f t="shared" si="4"/>
        <v>18</v>
      </c>
      <c r="G37" s="9" t="s">
        <v>27</v>
      </c>
      <c r="H37" s="8" t="s">
        <v>11</v>
      </c>
      <c r="I37" s="10">
        <v>46179</v>
      </c>
      <c r="J37" s="8" t="s">
        <v>64</v>
      </c>
      <c r="K37" s="9" t="s">
        <v>3</v>
      </c>
      <c r="L37" s="10">
        <v>46165</v>
      </c>
      <c r="M37" s="8" t="s">
        <v>149</v>
      </c>
      <c r="O37" s="8" t="s">
        <v>24</v>
      </c>
      <c r="P37" s="11" t="s">
        <v>19</v>
      </c>
      <c r="R37" s="11">
        <v>10707.57</v>
      </c>
      <c r="W37" s="11">
        <v>42272.88</v>
      </c>
      <c r="X37" s="11">
        <v>10573.93</v>
      </c>
      <c r="Y37" s="13">
        <f t="shared" si="1"/>
        <v>52846.81</v>
      </c>
      <c r="Z37" s="11">
        <f t="shared" si="2"/>
        <v>52846.81</v>
      </c>
      <c r="AA37" s="14">
        <f t="shared" si="3"/>
        <v>63554.38</v>
      </c>
      <c r="AB37" s="13">
        <v>0</v>
      </c>
      <c r="AC37" s="11">
        <v>0</v>
      </c>
      <c r="AD37" s="14">
        <v>0</v>
      </c>
    </row>
    <row r="38" spans="1:31" ht="16" x14ac:dyDescent="0.2">
      <c r="A38" s="8" t="s">
        <v>51</v>
      </c>
      <c r="B38" s="8" t="s">
        <v>25</v>
      </c>
      <c r="C38" s="8" t="s">
        <v>53</v>
      </c>
      <c r="D38" s="10">
        <v>46165</v>
      </c>
      <c r="E38" s="10">
        <v>46183</v>
      </c>
      <c r="F38" s="9">
        <f t="shared" si="4"/>
        <v>18</v>
      </c>
      <c r="G38" s="9" t="s">
        <v>27</v>
      </c>
      <c r="H38" s="8" t="s">
        <v>11</v>
      </c>
      <c r="I38" s="10">
        <v>46179</v>
      </c>
      <c r="J38" s="8" t="s">
        <v>64</v>
      </c>
      <c r="K38" s="9" t="s">
        <v>3</v>
      </c>
      <c r="L38" s="10">
        <v>46174</v>
      </c>
      <c r="M38" s="8" t="s">
        <v>65</v>
      </c>
      <c r="N38" s="10">
        <v>46165</v>
      </c>
      <c r="O38" s="8" t="s">
        <v>24</v>
      </c>
      <c r="P38" s="11" t="s">
        <v>19</v>
      </c>
      <c r="Q38" s="12">
        <f>8360.77-7014.91</f>
        <v>1345.8600000000006</v>
      </c>
      <c r="R38" s="11">
        <f>10047.47-7014.91</f>
        <v>3032.5599999999995</v>
      </c>
      <c r="S38" s="12">
        <f>3492.48-3027.11</f>
        <v>465.36999999999989</v>
      </c>
      <c r="T38" s="11">
        <f>4423.25-3027.11</f>
        <v>1396.1399999999999</v>
      </c>
      <c r="U38" s="12">
        <v>0</v>
      </c>
      <c r="V38" s="12">
        <v>0</v>
      </c>
      <c r="W38" s="11">
        <v>30607.35</v>
      </c>
      <c r="X38" s="11">
        <v>10574.49</v>
      </c>
      <c r="Y38" s="13">
        <f t="shared" si="1"/>
        <v>41181.839999999997</v>
      </c>
      <c r="Z38" s="11">
        <f t="shared" si="2"/>
        <v>42993.07</v>
      </c>
      <c r="AA38" s="14">
        <f t="shared" si="3"/>
        <v>45610.539999999994</v>
      </c>
      <c r="AB38" s="13">
        <v>0</v>
      </c>
      <c r="AC38" s="11">
        <v>0</v>
      </c>
      <c r="AD38" s="14">
        <v>0</v>
      </c>
      <c r="AE38" s="15" t="s">
        <v>81</v>
      </c>
    </row>
    <row r="39" spans="1:31" ht="16" x14ac:dyDescent="0.2">
      <c r="A39" s="8" t="s">
        <v>119</v>
      </c>
      <c r="B39" s="8" t="s">
        <v>25</v>
      </c>
      <c r="C39" s="8" t="s">
        <v>175</v>
      </c>
      <c r="D39" s="10">
        <v>46159</v>
      </c>
      <c r="E39" s="10">
        <v>46177</v>
      </c>
      <c r="F39" s="9">
        <f t="shared" si="4"/>
        <v>18</v>
      </c>
      <c r="G39" s="9" t="s">
        <v>199</v>
      </c>
      <c r="H39" s="8" t="s">
        <v>169</v>
      </c>
      <c r="I39" s="10">
        <v>46159</v>
      </c>
      <c r="J39" s="8" t="s">
        <v>174</v>
      </c>
      <c r="K39" s="9" t="s">
        <v>32</v>
      </c>
      <c r="L39" s="10">
        <v>46162</v>
      </c>
      <c r="M39" s="8" t="s">
        <v>149</v>
      </c>
      <c r="O39" s="8" t="s">
        <v>24</v>
      </c>
      <c r="P39" s="11" t="s">
        <v>19</v>
      </c>
      <c r="Q39" s="12">
        <f>7708.84-6542.88</f>
        <v>1165.96</v>
      </c>
      <c r="R39" s="11">
        <v>0</v>
      </c>
      <c r="S39" s="12">
        <f>2811.99-2319.89</f>
        <v>492.09999999999991</v>
      </c>
      <c r="T39" s="11">
        <v>0</v>
      </c>
      <c r="W39" s="11">
        <v>24199.99</v>
      </c>
      <c r="X39" s="11">
        <v>7599.62</v>
      </c>
      <c r="Y39" s="13">
        <f t="shared" si="1"/>
        <v>31799.61</v>
      </c>
      <c r="Z39" s="11">
        <f t="shared" si="2"/>
        <v>33457.67</v>
      </c>
      <c r="AA39" s="14">
        <f t="shared" si="3"/>
        <v>31799.61</v>
      </c>
      <c r="AB39" s="13">
        <v>0</v>
      </c>
      <c r="AC39" s="11">
        <v>0</v>
      </c>
      <c r="AD39" s="14">
        <v>0</v>
      </c>
      <c r="AE39" s="16" t="s">
        <v>176</v>
      </c>
    </row>
    <row r="40" spans="1:31" ht="16" x14ac:dyDescent="0.2">
      <c r="A40" s="8" t="s">
        <v>119</v>
      </c>
      <c r="B40" s="8" t="s">
        <v>25</v>
      </c>
      <c r="C40" s="8" t="s">
        <v>187</v>
      </c>
      <c r="D40" s="10">
        <v>46161</v>
      </c>
      <c r="E40" s="10">
        <v>46179</v>
      </c>
      <c r="F40" s="9">
        <f t="shared" si="4"/>
        <v>18</v>
      </c>
      <c r="G40" s="9" t="s">
        <v>199</v>
      </c>
      <c r="H40" s="8" t="s">
        <v>169</v>
      </c>
      <c r="I40" s="10">
        <v>46161</v>
      </c>
      <c r="J40" s="8" t="s">
        <v>184</v>
      </c>
      <c r="K40" s="9" t="s">
        <v>32</v>
      </c>
      <c r="L40" s="10">
        <v>46164</v>
      </c>
      <c r="M40" s="8" t="s">
        <v>149</v>
      </c>
      <c r="O40" s="8" t="s">
        <v>24</v>
      </c>
      <c r="P40" s="11" t="s">
        <v>19</v>
      </c>
      <c r="Q40" s="12">
        <v>0</v>
      </c>
      <c r="R40" s="11">
        <v>0</v>
      </c>
      <c r="S40" s="12">
        <f>2811.99-2319.89</f>
        <v>492.09999999999991</v>
      </c>
      <c r="T40" s="11">
        <f>3796.18-2319.89</f>
        <v>1476.29</v>
      </c>
      <c r="W40" s="11">
        <v>25188</v>
      </c>
      <c r="X40" s="11">
        <v>7491.06</v>
      </c>
      <c r="Y40" s="13">
        <f t="shared" si="1"/>
        <v>32679.06</v>
      </c>
      <c r="Z40" s="11">
        <f t="shared" si="2"/>
        <v>33171.159999999996</v>
      </c>
      <c r="AA40" s="14">
        <f t="shared" si="3"/>
        <v>34155.35</v>
      </c>
      <c r="AB40" s="13">
        <v>0</v>
      </c>
      <c r="AC40" s="11">
        <v>0</v>
      </c>
      <c r="AD40" s="14">
        <v>0</v>
      </c>
      <c r="AE40" s="16" t="s">
        <v>188</v>
      </c>
    </row>
    <row r="41" spans="1:31" ht="16" x14ac:dyDescent="0.2">
      <c r="A41" s="8" t="s">
        <v>94</v>
      </c>
      <c r="B41" s="8" t="s">
        <v>25</v>
      </c>
      <c r="C41" s="20" t="s">
        <v>96</v>
      </c>
      <c r="D41" s="10">
        <v>46158</v>
      </c>
      <c r="E41" s="10">
        <v>46177</v>
      </c>
      <c r="F41" s="9">
        <f t="shared" si="4"/>
        <v>19</v>
      </c>
      <c r="G41" s="9" t="s">
        <v>199</v>
      </c>
      <c r="H41" s="8" t="s">
        <v>102</v>
      </c>
      <c r="I41" s="10">
        <v>46158</v>
      </c>
      <c r="J41" s="8" t="s">
        <v>103</v>
      </c>
      <c r="K41" s="9" t="s">
        <v>31</v>
      </c>
      <c r="L41" s="10">
        <v>46162</v>
      </c>
      <c r="M41" s="8" t="s">
        <v>149</v>
      </c>
      <c r="O41" s="8" t="s">
        <v>24</v>
      </c>
      <c r="P41" s="11" t="s">
        <v>19</v>
      </c>
      <c r="Q41" s="12">
        <v>0</v>
      </c>
      <c r="R41" s="11">
        <v>9569.51</v>
      </c>
      <c r="S41" s="12">
        <v>0</v>
      </c>
      <c r="T41" s="11">
        <v>2390.16</v>
      </c>
      <c r="U41" s="12">
        <v>0</v>
      </c>
      <c r="V41" s="12">
        <v>0</v>
      </c>
      <c r="W41" s="11">
        <v>26704.03</v>
      </c>
      <c r="X41" s="11">
        <v>6454.47</v>
      </c>
      <c r="Y41" s="13">
        <f t="shared" si="1"/>
        <v>33158.5</v>
      </c>
      <c r="Z41" s="11">
        <f t="shared" si="2"/>
        <v>33158.5</v>
      </c>
      <c r="AA41" s="14">
        <f t="shared" si="3"/>
        <v>45118.17</v>
      </c>
      <c r="AB41" s="13">
        <v>0</v>
      </c>
      <c r="AC41" s="11">
        <v>0</v>
      </c>
      <c r="AD41" s="14">
        <v>0</v>
      </c>
      <c r="AE41" s="18" t="s">
        <v>98</v>
      </c>
    </row>
    <row r="42" spans="1:31" ht="16" x14ac:dyDescent="0.2">
      <c r="A42" s="8" t="s">
        <v>17</v>
      </c>
      <c r="B42" s="8" t="s">
        <v>25</v>
      </c>
      <c r="C42" s="8" t="s">
        <v>163</v>
      </c>
      <c r="D42" s="10">
        <v>46160</v>
      </c>
      <c r="E42" s="10">
        <v>46179</v>
      </c>
      <c r="F42" s="9">
        <f t="shared" si="4"/>
        <v>19</v>
      </c>
      <c r="G42" s="9" t="s">
        <v>199</v>
      </c>
      <c r="H42" s="8" t="s">
        <v>2</v>
      </c>
      <c r="I42" s="10">
        <v>46160</v>
      </c>
      <c r="J42" s="8" t="s">
        <v>50</v>
      </c>
      <c r="K42" s="9" t="s">
        <v>3</v>
      </c>
      <c r="L42" s="10">
        <v>46174</v>
      </c>
      <c r="M42" s="8" t="s">
        <v>111</v>
      </c>
      <c r="N42" s="10">
        <v>46163</v>
      </c>
      <c r="O42" s="8" t="s">
        <v>148</v>
      </c>
      <c r="P42" s="11">
        <v>4673.42</v>
      </c>
      <c r="Q42" s="12">
        <f>2547.15-2293.51</f>
        <v>253.63999999999987</v>
      </c>
      <c r="R42" s="11">
        <f>3058.03-2293.51</f>
        <v>764.52</v>
      </c>
      <c r="S42" s="12">
        <f>4073.17-3274.76</f>
        <v>798.40999999999985</v>
      </c>
      <c r="T42" s="11">
        <f>5677.37-3274.76</f>
        <v>2402.6099999999997</v>
      </c>
      <c r="U42" s="12">
        <f>9154.23-7151.63</f>
        <v>2002.5999999999995</v>
      </c>
      <c r="V42" s="12">
        <f>13142.86-7151.69</f>
        <v>5991.170000000001</v>
      </c>
      <c r="W42" s="11">
        <v>26960</v>
      </c>
      <c r="X42" s="11">
        <v>7599.62</v>
      </c>
      <c r="Y42" s="13">
        <v>0</v>
      </c>
      <c r="Z42" s="11">
        <v>0</v>
      </c>
      <c r="AA42" s="14">
        <v>0</v>
      </c>
      <c r="AB42" s="13">
        <f>W42+P42+X42</f>
        <v>39233.040000000001</v>
      </c>
      <c r="AC42" s="11">
        <f>W42+P42+Q42+S42+U42+X42</f>
        <v>42287.69</v>
      </c>
      <c r="AD42" s="14">
        <f>W42+P42+R42+T42+V42+X42</f>
        <v>48391.34</v>
      </c>
      <c r="AE42" s="16" t="s">
        <v>164</v>
      </c>
    </row>
    <row r="43" spans="1:31" x14ac:dyDescent="0.2">
      <c r="A43" s="8" t="s">
        <v>51</v>
      </c>
      <c r="B43" s="8" t="s">
        <v>25</v>
      </c>
      <c r="C43" s="8" t="s">
        <v>54</v>
      </c>
      <c r="D43" s="10">
        <v>46164</v>
      </c>
      <c r="E43" s="10">
        <v>46183</v>
      </c>
      <c r="F43" s="9">
        <f t="shared" si="4"/>
        <v>19</v>
      </c>
      <c r="G43" s="9" t="s">
        <v>27</v>
      </c>
      <c r="H43" s="8" t="s">
        <v>11</v>
      </c>
      <c r="I43" s="10">
        <v>46179</v>
      </c>
      <c r="J43" s="8" t="s">
        <v>64</v>
      </c>
      <c r="K43" s="9" t="s">
        <v>3</v>
      </c>
      <c r="L43" s="10">
        <v>46174</v>
      </c>
      <c r="M43" s="8" t="s">
        <v>66</v>
      </c>
      <c r="N43" s="10">
        <v>2205</v>
      </c>
      <c r="O43" s="8" t="s">
        <v>24</v>
      </c>
      <c r="P43" s="11" t="s">
        <v>19</v>
      </c>
      <c r="R43" s="11">
        <v>4429.1900000000023</v>
      </c>
      <c r="U43" s="12">
        <v>0</v>
      </c>
      <c r="V43" s="12">
        <v>0</v>
      </c>
      <c r="W43" s="11">
        <v>30148.17</v>
      </c>
      <c r="X43" s="11">
        <v>10575.62</v>
      </c>
      <c r="Y43" s="13">
        <f>W43+X43</f>
        <v>40723.79</v>
      </c>
      <c r="Z43" s="11">
        <f>W43+Q43+S43+U43+X43</f>
        <v>40723.79</v>
      </c>
      <c r="AA43" s="14">
        <f>W43+R43+T43+V43+X43</f>
        <v>45152.98</v>
      </c>
      <c r="AB43" s="13">
        <v>0</v>
      </c>
      <c r="AC43" s="11">
        <v>0</v>
      </c>
      <c r="AD43" s="14">
        <v>0</v>
      </c>
    </row>
    <row r="44" spans="1:31" ht="16" x14ac:dyDescent="0.2">
      <c r="A44" s="8" t="s">
        <v>94</v>
      </c>
      <c r="B44" s="8" t="s">
        <v>25</v>
      </c>
      <c r="C44" s="20" t="s">
        <v>96</v>
      </c>
      <c r="D44" s="10">
        <v>46158</v>
      </c>
      <c r="E44" s="10">
        <v>46177</v>
      </c>
      <c r="F44" s="9">
        <f t="shared" si="4"/>
        <v>19</v>
      </c>
      <c r="G44" s="9" t="s">
        <v>199</v>
      </c>
      <c r="H44" s="8" t="s">
        <v>102</v>
      </c>
      <c r="I44" s="10">
        <v>46158</v>
      </c>
      <c r="J44" s="8" t="s">
        <v>103</v>
      </c>
      <c r="K44" s="9" t="s">
        <v>31</v>
      </c>
      <c r="L44" s="10">
        <v>46162</v>
      </c>
      <c r="M44" s="8" t="s">
        <v>149</v>
      </c>
      <c r="O44" s="8" t="s">
        <v>148</v>
      </c>
      <c r="P44" s="11">
        <v>4673.42</v>
      </c>
      <c r="Q44" s="12">
        <v>0</v>
      </c>
      <c r="R44" s="11">
        <v>9569.51</v>
      </c>
      <c r="S44" s="12">
        <v>0</v>
      </c>
      <c r="T44" s="11">
        <v>2390.16</v>
      </c>
      <c r="U44" s="12">
        <v>0</v>
      </c>
      <c r="V44" s="12">
        <v>0</v>
      </c>
      <c r="W44" s="11">
        <v>26704.03</v>
      </c>
      <c r="X44" s="11">
        <v>6454.47</v>
      </c>
      <c r="Y44" s="13">
        <v>0</v>
      </c>
      <c r="Z44" s="11">
        <v>0</v>
      </c>
      <c r="AA44" s="14">
        <v>0</v>
      </c>
      <c r="AB44" s="13">
        <f>W44+P44+X44</f>
        <v>37831.919999999998</v>
      </c>
      <c r="AC44" s="11">
        <f>W44+P44+Q44+S44+U44+X44</f>
        <v>37831.919999999998</v>
      </c>
      <c r="AD44" s="14">
        <f>W44+P44+R44+T44+V44+X44</f>
        <v>49791.59</v>
      </c>
      <c r="AE44" s="18" t="s">
        <v>98</v>
      </c>
    </row>
    <row r="45" spans="1:31" ht="16" x14ac:dyDescent="0.2">
      <c r="A45" s="8" t="s">
        <v>94</v>
      </c>
      <c r="B45" s="8" t="s">
        <v>25</v>
      </c>
      <c r="C45" s="21" t="s">
        <v>151</v>
      </c>
      <c r="D45" s="10">
        <v>46158</v>
      </c>
      <c r="E45" s="10">
        <v>46177</v>
      </c>
      <c r="F45" s="9">
        <f t="shared" si="4"/>
        <v>19</v>
      </c>
      <c r="G45" s="9" t="s">
        <v>199</v>
      </c>
      <c r="H45" s="8" t="s">
        <v>125</v>
      </c>
      <c r="I45" s="10">
        <v>46158</v>
      </c>
      <c r="J45" s="8" t="s">
        <v>104</v>
      </c>
      <c r="K45" s="9" t="s">
        <v>31</v>
      </c>
      <c r="L45" s="10">
        <v>46162</v>
      </c>
      <c r="M45" s="8" t="s">
        <v>149</v>
      </c>
      <c r="O45" s="8" t="s">
        <v>24</v>
      </c>
      <c r="P45" s="11" t="s">
        <v>19</v>
      </c>
      <c r="Q45" s="12">
        <f>6653.5-5270.52</f>
        <v>1382.9799999999996</v>
      </c>
      <c r="R45" s="11">
        <f>7631.39-5270.52</f>
        <v>2360.87</v>
      </c>
      <c r="S45" s="12">
        <v>0</v>
      </c>
      <c r="T45" s="11">
        <v>0</v>
      </c>
      <c r="U45" s="12">
        <v>0</v>
      </c>
      <c r="V45" s="12">
        <v>0</v>
      </c>
      <c r="W45" s="11">
        <v>24823.74</v>
      </c>
      <c r="X45" s="11">
        <v>6454.47</v>
      </c>
      <c r="Y45" s="13">
        <f t="shared" ref="Y45:Y56" si="5">W45+X45</f>
        <v>31278.210000000003</v>
      </c>
      <c r="Z45" s="11">
        <f t="shared" ref="Z45:Z56" si="6">W45+Q45+S45+U45+X45</f>
        <v>32661.190000000002</v>
      </c>
      <c r="AA45" s="14">
        <f t="shared" ref="AA45:AA56" si="7">W45+R45+T45+V45+X45</f>
        <v>33639.08</v>
      </c>
      <c r="AB45" s="13">
        <v>0</v>
      </c>
      <c r="AC45" s="11">
        <v>0</v>
      </c>
      <c r="AD45" s="14">
        <v>0</v>
      </c>
      <c r="AE45" s="18" t="s">
        <v>152</v>
      </c>
    </row>
    <row r="46" spans="1:31" ht="16" x14ac:dyDescent="0.2">
      <c r="A46" s="8" t="s">
        <v>17</v>
      </c>
      <c r="B46" s="8" t="s">
        <v>25</v>
      </c>
      <c r="C46" s="8" t="s">
        <v>106</v>
      </c>
      <c r="D46" s="10">
        <v>46157</v>
      </c>
      <c r="E46" s="10">
        <v>46176</v>
      </c>
      <c r="F46" s="9">
        <f t="shared" si="4"/>
        <v>19</v>
      </c>
      <c r="G46" s="9" t="s">
        <v>199</v>
      </c>
      <c r="H46" s="8" t="s">
        <v>107</v>
      </c>
      <c r="I46" s="10">
        <v>46157</v>
      </c>
      <c r="J46" s="8" t="s">
        <v>41</v>
      </c>
      <c r="K46" s="9" t="s">
        <v>32</v>
      </c>
      <c r="L46" s="10">
        <v>46160</v>
      </c>
      <c r="M46" s="8" t="s">
        <v>149</v>
      </c>
      <c r="O46" s="8" t="s">
        <v>24</v>
      </c>
      <c r="P46" s="11" t="s">
        <v>19</v>
      </c>
      <c r="Q46" s="12">
        <f>6248.33-4954.51</f>
        <v>1293.8199999999997</v>
      </c>
      <c r="R46" s="11">
        <f>8792.88-4954.51</f>
        <v>3838.369999999999</v>
      </c>
      <c r="S46" s="12">
        <f>932.26-766.07</f>
        <v>166.18999999999994</v>
      </c>
      <c r="T46" s="11">
        <f>1287.61-766.07</f>
        <v>521.53999999999985</v>
      </c>
      <c r="W46" s="11">
        <v>22790.01</v>
      </c>
      <c r="X46" s="11">
        <v>7327.12</v>
      </c>
      <c r="Y46" s="13">
        <f t="shared" si="5"/>
        <v>30117.129999999997</v>
      </c>
      <c r="Z46" s="11">
        <f t="shared" si="6"/>
        <v>31577.139999999996</v>
      </c>
      <c r="AA46" s="14">
        <f t="shared" si="7"/>
        <v>34477.040000000001</v>
      </c>
      <c r="AB46" s="11">
        <v>0</v>
      </c>
      <c r="AC46" s="11">
        <v>0</v>
      </c>
      <c r="AD46" s="11">
        <v>0</v>
      </c>
      <c r="AE46" s="16" t="s">
        <v>115</v>
      </c>
    </row>
    <row r="47" spans="1:31" ht="16" x14ac:dyDescent="0.2">
      <c r="A47" s="8" t="s">
        <v>17</v>
      </c>
      <c r="B47" s="8" t="s">
        <v>25</v>
      </c>
      <c r="C47" s="8" t="s">
        <v>108</v>
      </c>
      <c r="D47" s="10">
        <v>46157</v>
      </c>
      <c r="E47" s="10">
        <v>46176</v>
      </c>
      <c r="F47" s="9">
        <f t="shared" si="4"/>
        <v>19</v>
      </c>
      <c r="G47" s="9" t="s">
        <v>199</v>
      </c>
      <c r="H47" s="8" t="s">
        <v>107</v>
      </c>
      <c r="I47" s="10">
        <v>46157</v>
      </c>
      <c r="J47" s="8" t="s">
        <v>41</v>
      </c>
      <c r="K47" s="9" t="s">
        <v>32</v>
      </c>
      <c r="L47" s="10">
        <v>46160</v>
      </c>
      <c r="M47" s="8" t="s">
        <v>149</v>
      </c>
      <c r="O47" s="8" t="s">
        <v>24</v>
      </c>
      <c r="P47" s="11" t="s">
        <v>19</v>
      </c>
      <c r="Q47" s="12">
        <v>0</v>
      </c>
      <c r="R47" s="11">
        <v>0</v>
      </c>
      <c r="S47" s="12">
        <v>0</v>
      </c>
      <c r="T47" s="11">
        <v>0</v>
      </c>
      <c r="W47" s="11">
        <v>22790.01</v>
      </c>
      <c r="X47" s="11">
        <v>7327.12</v>
      </c>
      <c r="Y47" s="13">
        <f t="shared" si="5"/>
        <v>30117.129999999997</v>
      </c>
      <c r="Z47" s="11">
        <f t="shared" si="6"/>
        <v>30117.129999999997</v>
      </c>
      <c r="AA47" s="14">
        <f t="shared" si="7"/>
        <v>30117.129999999997</v>
      </c>
      <c r="AB47" s="13">
        <v>0</v>
      </c>
      <c r="AC47" s="11">
        <v>0</v>
      </c>
      <c r="AD47" s="14">
        <v>0</v>
      </c>
      <c r="AE47" s="16" t="s">
        <v>116</v>
      </c>
    </row>
    <row r="48" spans="1:31" ht="16" x14ac:dyDescent="0.2">
      <c r="A48" s="8" t="s">
        <v>119</v>
      </c>
      <c r="B48" s="8" t="s">
        <v>25</v>
      </c>
      <c r="C48" s="8" t="s">
        <v>171</v>
      </c>
      <c r="D48" s="10">
        <v>46160</v>
      </c>
      <c r="E48" s="10">
        <v>46179</v>
      </c>
      <c r="F48" s="9">
        <f t="shared" si="4"/>
        <v>19</v>
      </c>
      <c r="G48" s="9" t="s">
        <v>27</v>
      </c>
      <c r="H48" s="8" t="s">
        <v>173</v>
      </c>
      <c r="I48" s="10">
        <v>46176</v>
      </c>
      <c r="J48" s="8" t="s">
        <v>174</v>
      </c>
      <c r="K48" s="9" t="s">
        <v>32</v>
      </c>
      <c r="L48" s="10">
        <v>46160</v>
      </c>
      <c r="M48" s="8" t="s">
        <v>149</v>
      </c>
      <c r="O48" s="8" t="s">
        <v>24</v>
      </c>
      <c r="P48" s="11" t="s">
        <v>19</v>
      </c>
      <c r="Q48" s="12">
        <f>7708.84-6542.88</f>
        <v>1165.96</v>
      </c>
      <c r="R48" s="11">
        <v>0</v>
      </c>
      <c r="S48" s="12">
        <v>0</v>
      </c>
      <c r="T48" s="11">
        <v>0</v>
      </c>
      <c r="W48" s="11">
        <v>24199.99</v>
      </c>
      <c r="X48" s="11">
        <v>7219.65</v>
      </c>
      <c r="Y48" s="13">
        <f t="shared" si="5"/>
        <v>31419.64</v>
      </c>
      <c r="Z48" s="11">
        <f t="shared" si="6"/>
        <v>32585.599999999999</v>
      </c>
      <c r="AA48" s="14">
        <f t="shared" si="7"/>
        <v>31419.64</v>
      </c>
      <c r="AB48" s="13">
        <v>0</v>
      </c>
      <c r="AC48" s="11">
        <v>0</v>
      </c>
      <c r="AD48" s="14">
        <v>0</v>
      </c>
      <c r="AE48" s="16" t="s">
        <v>172</v>
      </c>
    </row>
    <row r="49" spans="1:31" ht="16" x14ac:dyDescent="0.2">
      <c r="A49" s="8" t="s">
        <v>119</v>
      </c>
      <c r="B49" s="8" t="s">
        <v>25</v>
      </c>
      <c r="C49" s="8" t="s">
        <v>179</v>
      </c>
      <c r="D49" s="10">
        <v>46162</v>
      </c>
      <c r="E49" s="10">
        <v>46181</v>
      </c>
      <c r="F49" s="9">
        <f t="shared" si="4"/>
        <v>19</v>
      </c>
      <c r="G49" s="9" t="s">
        <v>199</v>
      </c>
      <c r="H49" s="8" t="s">
        <v>173</v>
      </c>
      <c r="I49" s="10">
        <v>46162</v>
      </c>
      <c r="J49" s="8" t="s">
        <v>178</v>
      </c>
      <c r="K49" s="9" t="s">
        <v>32</v>
      </c>
      <c r="L49" s="10">
        <v>46165</v>
      </c>
      <c r="M49" s="8" t="s">
        <v>149</v>
      </c>
      <c r="O49" s="8" t="s">
        <v>24</v>
      </c>
      <c r="P49" s="11" t="s">
        <v>19</v>
      </c>
      <c r="Q49" s="12">
        <v>0</v>
      </c>
      <c r="R49" s="11">
        <v>0</v>
      </c>
      <c r="S49" s="12">
        <v>0</v>
      </c>
      <c r="T49" s="11">
        <v>0</v>
      </c>
      <c r="W49" s="11">
        <v>24499.99</v>
      </c>
      <c r="X49" s="11">
        <v>6188.27</v>
      </c>
      <c r="Y49" s="13">
        <f t="shared" si="5"/>
        <v>30688.260000000002</v>
      </c>
      <c r="Z49" s="11">
        <f t="shared" si="6"/>
        <v>30688.260000000002</v>
      </c>
      <c r="AA49" s="14">
        <f t="shared" si="7"/>
        <v>30688.260000000002</v>
      </c>
      <c r="AB49" s="13">
        <v>0</v>
      </c>
      <c r="AC49" s="11">
        <v>0</v>
      </c>
      <c r="AD49" s="14">
        <v>0</v>
      </c>
      <c r="AE49" s="16" t="s">
        <v>177</v>
      </c>
    </row>
    <row r="50" spans="1:31" ht="16" x14ac:dyDescent="0.2">
      <c r="A50" s="8" t="s">
        <v>119</v>
      </c>
      <c r="B50" s="8" t="s">
        <v>25</v>
      </c>
      <c r="C50" s="8" t="s">
        <v>180</v>
      </c>
      <c r="D50" s="10">
        <v>46157</v>
      </c>
      <c r="E50" s="10">
        <v>46176</v>
      </c>
      <c r="F50" s="9">
        <f t="shared" si="4"/>
        <v>19</v>
      </c>
      <c r="G50" s="9" t="s">
        <v>27</v>
      </c>
      <c r="H50" s="8" t="s">
        <v>169</v>
      </c>
      <c r="I50" s="10">
        <v>46173</v>
      </c>
      <c r="J50" s="8" t="s">
        <v>178</v>
      </c>
      <c r="K50" s="9" t="s">
        <v>32</v>
      </c>
      <c r="L50" s="10">
        <v>46157</v>
      </c>
      <c r="M50" s="8" t="s">
        <v>149</v>
      </c>
      <c r="O50" s="8" t="s">
        <v>24</v>
      </c>
      <c r="P50" s="11" t="s">
        <v>19</v>
      </c>
      <c r="Q50" s="12">
        <f>7578.07-6117.16</f>
        <v>1460.9099999999999</v>
      </c>
      <c r="R50" s="11">
        <f>8982.18-6117.16</f>
        <v>2865.0200000000004</v>
      </c>
      <c r="S50" s="12">
        <v>0</v>
      </c>
      <c r="T50" s="11">
        <v>0</v>
      </c>
      <c r="W50" s="11">
        <v>24999.599999999999</v>
      </c>
      <c r="X50" s="11">
        <v>8088.17</v>
      </c>
      <c r="Y50" s="13">
        <f t="shared" si="5"/>
        <v>33087.769999999997</v>
      </c>
      <c r="Z50" s="11">
        <f t="shared" si="6"/>
        <v>34548.68</v>
      </c>
      <c r="AA50" s="14">
        <f t="shared" si="7"/>
        <v>35952.79</v>
      </c>
      <c r="AB50" s="13">
        <v>0</v>
      </c>
      <c r="AC50" s="11">
        <v>0</v>
      </c>
      <c r="AD50" s="14">
        <v>0</v>
      </c>
      <c r="AE50" s="16" t="s">
        <v>181</v>
      </c>
    </row>
    <row r="51" spans="1:31" ht="16" x14ac:dyDescent="0.2">
      <c r="A51" s="8" t="s">
        <v>51</v>
      </c>
      <c r="B51" s="8" t="s">
        <v>30</v>
      </c>
      <c r="C51" s="8" t="s">
        <v>69</v>
      </c>
      <c r="D51" s="10">
        <v>46154</v>
      </c>
      <c r="E51" s="10">
        <v>46174</v>
      </c>
      <c r="F51" s="9">
        <f t="shared" si="4"/>
        <v>20</v>
      </c>
      <c r="G51" s="9" t="s">
        <v>199</v>
      </c>
      <c r="H51" s="8" t="s">
        <v>61</v>
      </c>
      <c r="I51" s="10">
        <v>46154</v>
      </c>
      <c r="J51" s="8" t="s">
        <v>64</v>
      </c>
      <c r="K51" s="9" t="s">
        <v>3</v>
      </c>
      <c r="L51" s="10">
        <v>46158</v>
      </c>
      <c r="M51" s="8" t="s">
        <v>65</v>
      </c>
      <c r="N51" s="10">
        <v>46163</v>
      </c>
      <c r="O51" s="8" t="s">
        <v>24</v>
      </c>
      <c r="P51" s="11" t="s">
        <v>19</v>
      </c>
      <c r="Q51" s="12">
        <f>3951.96-3316.17</f>
        <v>635.79</v>
      </c>
      <c r="R51" s="11">
        <f>5224.94-3316.17</f>
        <v>1908.7699999999995</v>
      </c>
      <c r="S51" s="12">
        <f>2569.63-1996.05</f>
        <v>573.58000000000015</v>
      </c>
      <c r="T51" s="11">
        <f>3716.77-1996.05</f>
        <v>1720.72</v>
      </c>
      <c r="U51" s="12">
        <v>0</v>
      </c>
      <c r="V51" s="12">
        <v>0</v>
      </c>
      <c r="W51" s="11">
        <v>26847.51</v>
      </c>
      <c r="X51" s="11">
        <v>8105</v>
      </c>
      <c r="Y51" s="13">
        <f t="shared" si="5"/>
        <v>34952.509999999995</v>
      </c>
      <c r="Z51" s="11">
        <f t="shared" si="6"/>
        <v>36161.880000000005</v>
      </c>
      <c r="AA51" s="14">
        <f t="shared" si="7"/>
        <v>38582</v>
      </c>
      <c r="AB51" s="13">
        <v>0</v>
      </c>
      <c r="AC51" s="11">
        <v>0</v>
      </c>
      <c r="AD51" s="14">
        <v>0</v>
      </c>
      <c r="AE51" s="15" t="s">
        <v>80</v>
      </c>
    </row>
    <row r="52" spans="1:31" ht="16" x14ac:dyDescent="0.2">
      <c r="A52" s="8" t="s">
        <v>51</v>
      </c>
      <c r="B52" s="8" t="s">
        <v>25</v>
      </c>
      <c r="C52" s="8" t="s">
        <v>68</v>
      </c>
      <c r="D52" s="10">
        <v>46159</v>
      </c>
      <c r="E52" s="10">
        <v>46179</v>
      </c>
      <c r="F52" s="9">
        <f t="shared" si="4"/>
        <v>20</v>
      </c>
      <c r="G52" s="9" t="s">
        <v>199</v>
      </c>
      <c r="H52" s="8" t="s">
        <v>60</v>
      </c>
      <c r="I52" s="10">
        <v>46159</v>
      </c>
      <c r="J52" s="8" t="s">
        <v>63</v>
      </c>
      <c r="K52" s="9" t="s">
        <v>16</v>
      </c>
      <c r="L52" s="10">
        <v>46162</v>
      </c>
      <c r="M52" s="8" t="s">
        <v>149</v>
      </c>
      <c r="O52" s="8" t="s">
        <v>24</v>
      </c>
      <c r="P52" s="11" t="s">
        <v>19</v>
      </c>
      <c r="Q52" s="12" t="s">
        <v>19</v>
      </c>
      <c r="R52" s="11">
        <f>12840.69-7268.32</f>
        <v>5572.3700000000008</v>
      </c>
      <c r="S52" s="12" t="s">
        <v>19</v>
      </c>
      <c r="T52" s="11">
        <f>4425.35-2677.73</f>
        <v>1747.6200000000003</v>
      </c>
      <c r="W52" s="11">
        <v>26686.52</v>
      </c>
      <c r="X52" s="11">
        <v>10702.09</v>
      </c>
      <c r="Y52" s="13">
        <f t="shared" si="5"/>
        <v>37388.61</v>
      </c>
      <c r="Z52" s="11" t="e">
        <f t="shared" si="6"/>
        <v>#VALUE!</v>
      </c>
      <c r="AA52" s="14">
        <f t="shared" si="7"/>
        <v>44708.600000000006</v>
      </c>
      <c r="AB52" s="13">
        <v>0</v>
      </c>
      <c r="AC52" s="11">
        <v>0</v>
      </c>
      <c r="AD52" s="14">
        <v>0</v>
      </c>
      <c r="AE52" s="15" t="s">
        <v>79</v>
      </c>
    </row>
    <row r="53" spans="1:31" ht="16" x14ac:dyDescent="0.2">
      <c r="A53" s="8" t="s">
        <v>119</v>
      </c>
      <c r="B53" s="8" t="s">
        <v>215</v>
      </c>
      <c r="C53" s="8" t="s">
        <v>167</v>
      </c>
      <c r="D53" s="10">
        <v>46159</v>
      </c>
      <c r="E53" s="10">
        <v>46179</v>
      </c>
      <c r="F53" s="9">
        <f t="shared" si="4"/>
        <v>20</v>
      </c>
      <c r="G53" s="9" t="s">
        <v>199</v>
      </c>
      <c r="H53" s="8" t="s">
        <v>169</v>
      </c>
      <c r="I53" s="10">
        <v>46159</v>
      </c>
      <c r="J53" s="8" t="s">
        <v>170</v>
      </c>
      <c r="K53" s="9" t="s">
        <v>32</v>
      </c>
      <c r="L53" s="10">
        <v>46162</v>
      </c>
      <c r="M53" s="8" t="s">
        <v>149</v>
      </c>
      <c r="O53" s="8" t="s">
        <v>24</v>
      </c>
      <c r="P53" s="11" t="s">
        <v>19</v>
      </c>
      <c r="Q53" s="12">
        <v>0</v>
      </c>
      <c r="R53" s="11">
        <v>0</v>
      </c>
      <c r="S53" s="12">
        <f>2811.99-2319.89</f>
        <v>492.09999999999991</v>
      </c>
      <c r="T53" s="11">
        <v>0</v>
      </c>
      <c r="W53" s="11">
        <v>23999.99</v>
      </c>
      <c r="X53" s="11">
        <v>7056.8</v>
      </c>
      <c r="Y53" s="13">
        <f t="shared" si="5"/>
        <v>31056.79</v>
      </c>
      <c r="Z53" s="11">
        <f t="shared" si="6"/>
        <v>31548.89</v>
      </c>
      <c r="AA53" s="14">
        <f t="shared" si="7"/>
        <v>31056.79</v>
      </c>
      <c r="AB53" s="13">
        <v>0</v>
      </c>
      <c r="AC53" s="11">
        <v>0</v>
      </c>
      <c r="AD53" s="14">
        <v>0</v>
      </c>
      <c r="AE53" s="16" t="s">
        <v>168</v>
      </c>
    </row>
    <row r="54" spans="1:31" ht="16" x14ac:dyDescent="0.2">
      <c r="A54" s="8" t="s">
        <v>119</v>
      </c>
      <c r="B54" s="8" t="s">
        <v>25</v>
      </c>
      <c r="C54" s="8" t="s">
        <v>192</v>
      </c>
      <c r="D54" s="10">
        <v>46159</v>
      </c>
      <c r="E54" s="10">
        <v>46179</v>
      </c>
      <c r="F54" s="9">
        <f t="shared" si="4"/>
        <v>20</v>
      </c>
      <c r="G54" s="9" t="s">
        <v>199</v>
      </c>
      <c r="H54" s="8" t="s">
        <v>169</v>
      </c>
      <c r="I54" s="10">
        <v>46159</v>
      </c>
      <c r="J54" s="8" t="s">
        <v>191</v>
      </c>
      <c r="K54" s="9" t="s">
        <v>32</v>
      </c>
      <c r="L54" s="10">
        <v>46162</v>
      </c>
      <c r="M54" s="8" t="s">
        <v>149</v>
      </c>
      <c r="O54" s="8" t="s">
        <v>24</v>
      </c>
      <c r="P54" s="11" t="s">
        <v>19</v>
      </c>
      <c r="Q54" s="12">
        <v>0</v>
      </c>
      <c r="R54" s="11">
        <v>0</v>
      </c>
      <c r="S54" s="12">
        <f>2811.99-2319.89</f>
        <v>492.09999999999991</v>
      </c>
      <c r="T54" s="11">
        <v>0</v>
      </c>
      <c r="W54" s="11">
        <v>25499.99</v>
      </c>
      <c r="X54" s="11">
        <v>6188.27</v>
      </c>
      <c r="Y54" s="13">
        <f t="shared" si="5"/>
        <v>31688.260000000002</v>
      </c>
      <c r="Z54" s="11">
        <f t="shared" si="6"/>
        <v>32180.36</v>
      </c>
      <c r="AA54" s="14">
        <f t="shared" si="7"/>
        <v>31688.260000000002</v>
      </c>
      <c r="AB54" s="11">
        <v>0</v>
      </c>
      <c r="AC54" s="11">
        <v>0</v>
      </c>
      <c r="AD54" s="11">
        <v>0</v>
      </c>
      <c r="AE54" s="16" t="s">
        <v>193</v>
      </c>
    </row>
    <row r="55" spans="1:31" ht="16" x14ac:dyDescent="0.2">
      <c r="A55" s="8" t="s">
        <v>119</v>
      </c>
      <c r="B55" s="8" t="s">
        <v>25</v>
      </c>
      <c r="C55" s="8" t="s">
        <v>194</v>
      </c>
      <c r="D55" s="10">
        <v>46159</v>
      </c>
      <c r="E55" s="10">
        <v>46179</v>
      </c>
      <c r="F55" s="9">
        <f t="shared" si="4"/>
        <v>20</v>
      </c>
      <c r="G55" s="9" t="s">
        <v>199</v>
      </c>
      <c r="H55" s="8" t="s">
        <v>169</v>
      </c>
      <c r="I55" s="10">
        <v>46159</v>
      </c>
      <c r="J55" s="8" t="s">
        <v>184</v>
      </c>
      <c r="K55" s="9" t="s">
        <v>32</v>
      </c>
      <c r="L55" s="10">
        <v>46162</v>
      </c>
      <c r="M55" s="8" t="s">
        <v>149</v>
      </c>
      <c r="O55" s="8" t="s">
        <v>24</v>
      </c>
      <c r="P55" s="11" t="s">
        <v>19</v>
      </c>
      <c r="Q55" s="12">
        <v>0</v>
      </c>
      <c r="R55" s="11">
        <v>0</v>
      </c>
      <c r="S55" s="12">
        <f>2811.99-2319.89</f>
        <v>492.09999999999991</v>
      </c>
      <c r="T55" s="11">
        <v>0</v>
      </c>
      <c r="W55" s="11">
        <v>25500</v>
      </c>
      <c r="X55" s="11">
        <v>6188.27</v>
      </c>
      <c r="Y55" s="13">
        <f t="shared" si="5"/>
        <v>31688.27</v>
      </c>
      <c r="Z55" s="11">
        <f t="shared" si="6"/>
        <v>32180.37</v>
      </c>
      <c r="AA55" s="14">
        <f t="shared" si="7"/>
        <v>31688.27</v>
      </c>
      <c r="AB55" s="11">
        <v>0</v>
      </c>
      <c r="AC55" s="11">
        <v>0</v>
      </c>
      <c r="AD55" s="11">
        <v>0</v>
      </c>
      <c r="AE55" s="16" t="s">
        <v>195</v>
      </c>
    </row>
    <row r="56" spans="1:31" ht="16" x14ac:dyDescent="0.2">
      <c r="A56" s="8" t="s">
        <v>94</v>
      </c>
      <c r="B56" s="8" t="s">
        <v>25</v>
      </c>
      <c r="C56" s="20" t="s">
        <v>97</v>
      </c>
      <c r="D56" s="10">
        <v>46154</v>
      </c>
      <c r="E56" s="10">
        <v>46175</v>
      </c>
      <c r="F56" s="9">
        <f t="shared" si="4"/>
        <v>21</v>
      </c>
      <c r="G56" s="9" t="s">
        <v>199</v>
      </c>
      <c r="H56" s="8" t="s">
        <v>102</v>
      </c>
      <c r="I56" s="10">
        <v>46154</v>
      </c>
      <c r="J56" s="8" t="s">
        <v>103</v>
      </c>
      <c r="K56" s="9" t="s">
        <v>31</v>
      </c>
      <c r="L56" s="10">
        <v>46158</v>
      </c>
      <c r="M56" s="8" t="s">
        <v>149</v>
      </c>
      <c r="O56" s="8" t="s">
        <v>24</v>
      </c>
      <c r="P56" s="11" t="s">
        <v>19</v>
      </c>
      <c r="Q56" s="12">
        <v>0</v>
      </c>
      <c r="R56" s="11">
        <v>10845.42</v>
      </c>
      <c r="S56" s="12">
        <v>0</v>
      </c>
      <c r="T56" s="11">
        <v>2390.16</v>
      </c>
      <c r="U56" s="12">
        <v>0</v>
      </c>
      <c r="V56" s="12">
        <v>0</v>
      </c>
      <c r="W56" s="11">
        <v>27979.98</v>
      </c>
      <c r="X56" s="11">
        <v>7932.19</v>
      </c>
      <c r="Y56" s="13">
        <f t="shared" si="5"/>
        <v>35912.17</v>
      </c>
      <c r="Z56" s="11">
        <f t="shared" si="6"/>
        <v>35912.17</v>
      </c>
      <c r="AA56" s="14">
        <f t="shared" si="7"/>
        <v>49147.75</v>
      </c>
      <c r="AB56" s="11">
        <v>0</v>
      </c>
      <c r="AC56" s="11">
        <v>0</v>
      </c>
      <c r="AD56" s="11">
        <v>0</v>
      </c>
      <c r="AE56" s="15" t="s">
        <v>99</v>
      </c>
    </row>
    <row r="57" spans="1:31" ht="16" x14ac:dyDescent="0.2">
      <c r="A57" s="8" t="s">
        <v>94</v>
      </c>
      <c r="B57" s="8" t="s">
        <v>25</v>
      </c>
      <c r="C57" s="20" t="s">
        <v>97</v>
      </c>
      <c r="D57" s="10">
        <v>46154</v>
      </c>
      <c r="E57" s="10">
        <v>46175</v>
      </c>
      <c r="F57" s="9">
        <f t="shared" si="4"/>
        <v>21</v>
      </c>
      <c r="G57" s="9" t="s">
        <v>199</v>
      </c>
      <c r="H57" s="8" t="s">
        <v>102</v>
      </c>
      <c r="I57" s="10">
        <v>46154</v>
      </c>
      <c r="J57" s="8" t="s">
        <v>103</v>
      </c>
      <c r="K57" s="9" t="s">
        <v>31</v>
      </c>
      <c r="L57" s="10">
        <v>46158</v>
      </c>
      <c r="M57" s="8" t="s">
        <v>149</v>
      </c>
      <c r="O57" s="8" t="s">
        <v>148</v>
      </c>
      <c r="P57" s="11">
        <v>4673.42</v>
      </c>
      <c r="Q57" s="12">
        <v>0</v>
      </c>
      <c r="R57" s="11">
        <v>10845.42</v>
      </c>
      <c r="S57" s="12">
        <v>0</v>
      </c>
      <c r="T57" s="11">
        <v>2390.16</v>
      </c>
      <c r="U57" s="12">
        <v>0</v>
      </c>
      <c r="V57" s="12">
        <v>0</v>
      </c>
      <c r="W57" s="11">
        <v>27979.98</v>
      </c>
      <c r="X57" s="11">
        <v>7932.19</v>
      </c>
      <c r="Y57" s="13">
        <v>0</v>
      </c>
      <c r="Z57" s="11">
        <v>0</v>
      </c>
      <c r="AA57" s="14">
        <v>0</v>
      </c>
      <c r="AB57" s="11">
        <f>W57+P57+X57</f>
        <v>40585.590000000004</v>
      </c>
      <c r="AC57" s="11">
        <f>W57+P57+Q57+S57+U57+X57</f>
        <v>40585.590000000004</v>
      </c>
      <c r="AD57" s="11">
        <f>W57+P57+R57+T57+V57+X57</f>
        <v>53821.17</v>
      </c>
      <c r="AE57" s="15" t="s">
        <v>99</v>
      </c>
    </row>
    <row r="58" spans="1:31" ht="16" x14ac:dyDescent="0.2">
      <c r="A58" s="8" t="s">
        <v>94</v>
      </c>
      <c r="B58" s="8" t="s">
        <v>25</v>
      </c>
      <c r="C58" s="21" t="s">
        <v>153</v>
      </c>
      <c r="D58" s="10">
        <v>46154</v>
      </c>
      <c r="E58" s="10">
        <v>46175</v>
      </c>
      <c r="F58" s="9">
        <f t="shared" si="4"/>
        <v>21</v>
      </c>
      <c r="G58" s="9" t="s">
        <v>199</v>
      </c>
      <c r="H58" s="8" t="s">
        <v>125</v>
      </c>
      <c r="I58" s="10">
        <v>46154</v>
      </c>
      <c r="J58" s="8" t="s">
        <v>104</v>
      </c>
      <c r="K58" s="9" t="s">
        <v>31</v>
      </c>
      <c r="L58" s="10">
        <v>46158</v>
      </c>
      <c r="M58" s="8" t="s">
        <v>149</v>
      </c>
      <c r="O58" s="8" t="s">
        <v>24</v>
      </c>
      <c r="P58" s="11" t="s">
        <v>19</v>
      </c>
      <c r="Q58" s="12">
        <f>6786.55-5378.93</f>
        <v>1407.62</v>
      </c>
      <c r="R58" s="11">
        <f>7887.92-5378.93</f>
        <v>2508.9899999999998</v>
      </c>
      <c r="S58" s="12">
        <v>0</v>
      </c>
      <c r="T58" s="11">
        <v>0</v>
      </c>
      <c r="U58" s="12">
        <v>0</v>
      </c>
      <c r="V58" s="12">
        <v>0</v>
      </c>
      <c r="W58" s="11">
        <v>25353.19</v>
      </c>
      <c r="X58" s="11">
        <v>7932.19</v>
      </c>
      <c r="Y58" s="13">
        <f t="shared" ref="Y58:Y66" si="8">W58+X58</f>
        <v>33285.379999999997</v>
      </c>
      <c r="Z58" s="11">
        <f t="shared" ref="Z58:Z66" si="9">W58+Q58+S58+U58+X58</f>
        <v>34693</v>
      </c>
      <c r="AA58" s="14">
        <f t="shared" ref="AA58:AA66" si="10">W58+R58+T58+V58+X58</f>
        <v>35794.370000000003</v>
      </c>
      <c r="AB58" s="11">
        <v>0</v>
      </c>
      <c r="AC58" s="11">
        <v>0</v>
      </c>
      <c r="AD58" s="11">
        <v>0</v>
      </c>
      <c r="AE58" s="18" t="s">
        <v>154</v>
      </c>
    </row>
    <row r="59" spans="1:31" ht="16" x14ac:dyDescent="0.2">
      <c r="A59" s="8" t="s">
        <v>94</v>
      </c>
      <c r="B59" s="8" t="s">
        <v>25</v>
      </c>
      <c r="C59" s="21" t="s">
        <v>95</v>
      </c>
      <c r="D59" s="10">
        <v>46154</v>
      </c>
      <c r="E59" s="10">
        <v>46175</v>
      </c>
      <c r="F59" s="9">
        <f t="shared" si="4"/>
        <v>21</v>
      </c>
      <c r="H59" s="8" t="s">
        <v>125</v>
      </c>
      <c r="I59" s="10">
        <v>46154</v>
      </c>
      <c r="J59" s="8" t="s">
        <v>105</v>
      </c>
      <c r="K59" s="22" t="s">
        <v>31</v>
      </c>
      <c r="L59" s="10">
        <v>46158</v>
      </c>
      <c r="M59" s="8" t="s">
        <v>149</v>
      </c>
      <c r="O59" s="8" t="s">
        <v>24</v>
      </c>
      <c r="P59" s="11" t="s">
        <v>19</v>
      </c>
      <c r="Q59" s="12">
        <f>6474.56-5791.95</f>
        <v>682.61000000000058</v>
      </c>
      <c r="R59" s="11">
        <f>6552.51-5791.95</f>
        <v>760.5600000000004</v>
      </c>
      <c r="S59" s="12">
        <v>0</v>
      </c>
      <c r="T59" s="11">
        <v>0</v>
      </c>
      <c r="U59" s="12">
        <v>0</v>
      </c>
      <c r="V59" s="12">
        <v>0</v>
      </c>
      <c r="W59" s="11">
        <v>25891.52</v>
      </c>
      <c r="X59" s="11">
        <v>7932.19</v>
      </c>
      <c r="Y59" s="13">
        <f t="shared" si="8"/>
        <v>33823.71</v>
      </c>
      <c r="Z59" s="11">
        <f t="shared" si="9"/>
        <v>34506.32</v>
      </c>
      <c r="AA59" s="14">
        <f t="shared" si="10"/>
        <v>34584.270000000004</v>
      </c>
      <c r="AB59" s="11">
        <v>0</v>
      </c>
      <c r="AC59" s="11">
        <v>0</v>
      </c>
      <c r="AD59" s="11">
        <v>0</v>
      </c>
      <c r="AE59" s="18" t="s">
        <v>155</v>
      </c>
    </row>
    <row r="60" spans="1:31" ht="16" x14ac:dyDescent="0.2">
      <c r="A60" s="8" t="s">
        <v>119</v>
      </c>
      <c r="B60" s="8" t="s">
        <v>25</v>
      </c>
      <c r="C60" s="8" t="s">
        <v>189</v>
      </c>
      <c r="D60" s="10">
        <v>46157</v>
      </c>
      <c r="E60" s="10">
        <v>46178</v>
      </c>
      <c r="F60" s="9">
        <f t="shared" si="4"/>
        <v>21</v>
      </c>
      <c r="G60" s="9" t="s">
        <v>199</v>
      </c>
      <c r="H60" s="8" t="s">
        <v>169</v>
      </c>
      <c r="I60" s="10">
        <v>46157</v>
      </c>
      <c r="J60" s="8" t="s">
        <v>191</v>
      </c>
      <c r="K60" s="9" t="s">
        <v>32</v>
      </c>
      <c r="L60" s="10">
        <v>46160</v>
      </c>
      <c r="M60" s="8" t="s">
        <v>149</v>
      </c>
      <c r="O60" s="8" t="s">
        <v>24</v>
      </c>
      <c r="P60" s="11" t="s">
        <v>19</v>
      </c>
      <c r="Q60" s="12">
        <v>0</v>
      </c>
      <c r="R60" s="11">
        <f>10985.08-6542.88</f>
        <v>4442.2</v>
      </c>
      <c r="S60" s="12">
        <f>2811.99-2319.89</f>
        <v>492.09999999999991</v>
      </c>
      <c r="T60" s="11">
        <f>3796.18-2319.89</f>
        <v>1476.29</v>
      </c>
      <c r="W60" s="11">
        <v>25279.919999999998</v>
      </c>
      <c r="X60" s="11">
        <v>6459.68</v>
      </c>
      <c r="Y60" s="13">
        <f t="shared" si="8"/>
        <v>31739.599999999999</v>
      </c>
      <c r="Z60" s="11">
        <f t="shared" si="9"/>
        <v>32231.699999999997</v>
      </c>
      <c r="AA60" s="14">
        <f t="shared" si="10"/>
        <v>37658.089999999997</v>
      </c>
      <c r="AB60" s="11">
        <v>0</v>
      </c>
      <c r="AC60" s="11">
        <v>0</v>
      </c>
      <c r="AD60" s="11">
        <v>0</v>
      </c>
      <c r="AE60" s="16" t="s">
        <v>190</v>
      </c>
    </row>
    <row r="61" spans="1:31" ht="16" x14ac:dyDescent="0.2">
      <c r="A61" s="8" t="s">
        <v>119</v>
      </c>
      <c r="B61" s="8" t="s">
        <v>25</v>
      </c>
      <c r="C61" s="8" t="s">
        <v>203</v>
      </c>
      <c r="D61" s="10">
        <v>46157</v>
      </c>
      <c r="E61" s="10">
        <v>46178</v>
      </c>
      <c r="F61" s="9">
        <f t="shared" si="4"/>
        <v>21</v>
      </c>
      <c r="G61" s="9" t="s">
        <v>199</v>
      </c>
      <c r="H61" s="8" t="s">
        <v>173</v>
      </c>
      <c r="I61" s="10">
        <v>46157</v>
      </c>
      <c r="J61" s="8" t="s">
        <v>122</v>
      </c>
      <c r="K61" s="9" t="s">
        <v>32</v>
      </c>
      <c r="L61" s="10">
        <v>46160</v>
      </c>
      <c r="M61" s="8" t="s">
        <v>23</v>
      </c>
      <c r="O61" s="8" t="s">
        <v>24</v>
      </c>
      <c r="P61" s="11" t="s">
        <v>19</v>
      </c>
      <c r="Q61" s="12">
        <v>0</v>
      </c>
      <c r="R61" s="11">
        <v>0</v>
      </c>
      <c r="S61" s="12">
        <v>0</v>
      </c>
      <c r="T61" s="11">
        <v>0</v>
      </c>
      <c r="W61" s="11">
        <v>26666.66</v>
      </c>
      <c r="X61" s="11">
        <v>7599.62</v>
      </c>
      <c r="Y61" s="13">
        <f t="shared" si="8"/>
        <v>34266.28</v>
      </c>
      <c r="Z61" s="11">
        <f t="shared" si="9"/>
        <v>34266.28</v>
      </c>
      <c r="AA61" s="14">
        <f t="shared" si="10"/>
        <v>34266.28</v>
      </c>
      <c r="AB61" s="11">
        <v>0</v>
      </c>
      <c r="AC61" s="11">
        <v>0</v>
      </c>
      <c r="AD61" s="11">
        <v>0</v>
      </c>
      <c r="AE61" s="16" t="s">
        <v>204</v>
      </c>
    </row>
    <row r="62" spans="1:31" ht="16" x14ac:dyDescent="0.2">
      <c r="A62" s="8" t="s">
        <v>17</v>
      </c>
      <c r="B62" s="8" t="s">
        <v>25</v>
      </c>
      <c r="C62" s="8" t="s">
        <v>46</v>
      </c>
      <c r="D62" s="10">
        <v>46160</v>
      </c>
      <c r="E62" s="10">
        <v>46182</v>
      </c>
      <c r="F62" s="9">
        <f t="shared" si="4"/>
        <v>22</v>
      </c>
      <c r="G62" s="9" t="s">
        <v>27</v>
      </c>
      <c r="H62" s="8" t="s">
        <v>2</v>
      </c>
      <c r="I62" s="10">
        <v>46179</v>
      </c>
      <c r="J62" s="8" t="s">
        <v>166</v>
      </c>
      <c r="K62" s="9" t="s">
        <v>3</v>
      </c>
      <c r="L62" s="10">
        <v>46173</v>
      </c>
      <c r="M62" s="8" t="s">
        <v>41</v>
      </c>
      <c r="N62" s="10">
        <v>46160</v>
      </c>
      <c r="O62" s="8" t="s">
        <v>24</v>
      </c>
      <c r="P62" s="11" t="s">
        <v>19</v>
      </c>
      <c r="Q62" s="12">
        <f>5820.79-5238.71</f>
        <v>582.07999999999993</v>
      </c>
      <c r="R62" s="11">
        <f>6984.95-5238.71</f>
        <v>1746.2399999999998</v>
      </c>
      <c r="S62" s="12">
        <f>2910.39-2357.85</f>
        <v>552.54</v>
      </c>
      <c r="T62" s="11">
        <f>4017.62-2357.58</f>
        <v>1660.04</v>
      </c>
      <c r="U62" s="12">
        <f>6248.33-4954.51</f>
        <v>1293.8199999999997</v>
      </c>
      <c r="V62" s="12">
        <f>8792.88-4954.51</f>
        <v>3838.369999999999</v>
      </c>
      <c r="W62" s="11">
        <v>28830</v>
      </c>
      <c r="X62" s="11">
        <v>7237.02</v>
      </c>
      <c r="Y62" s="13">
        <f t="shared" si="8"/>
        <v>36067.020000000004</v>
      </c>
      <c r="Z62" s="11">
        <f t="shared" si="9"/>
        <v>38495.460000000006</v>
      </c>
      <c r="AA62" s="14">
        <f t="shared" si="10"/>
        <v>43311.67</v>
      </c>
      <c r="AB62" s="11">
        <v>0</v>
      </c>
      <c r="AC62" s="11">
        <v>0</v>
      </c>
      <c r="AD62" s="11">
        <v>0</v>
      </c>
      <c r="AE62" s="18" t="s">
        <v>88</v>
      </c>
    </row>
    <row r="63" spans="1:31" ht="16" x14ac:dyDescent="0.2">
      <c r="A63" s="8" t="s">
        <v>17</v>
      </c>
      <c r="B63" s="8" t="s">
        <v>25</v>
      </c>
      <c r="C63" s="8" t="s">
        <v>44</v>
      </c>
      <c r="D63" s="10">
        <v>46160</v>
      </c>
      <c r="E63" s="10">
        <v>46182</v>
      </c>
      <c r="F63" s="9">
        <f t="shared" si="4"/>
        <v>22</v>
      </c>
      <c r="G63" s="9" t="s">
        <v>27</v>
      </c>
      <c r="H63" s="8" t="s">
        <v>125</v>
      </c>
      <c r="I63" s="10">
        <v>46179</v>
      </c>
      <c r="J63" s="8" t="s">
        <v>47</v>
      </c>
      <c r="K63" s="9" t="s">
        <v>32</v>
      </c>
      <c r="L63" s="10">
        <v>46160</v>
      </c>
      <c r="M63" s="8" t="s">
        <v>149</v>
      </c>
      <c r="O63" s="8" t="s">
        <v>24</v>
      </c>
      <c r="P63" s="11" t="s">
        <v>19</v>
      </c>
      <c r="Q63" s="12">
        <f>7532.21-5950.24</f>
        <v>1581.9700000000003</v>
      </c>
      <c r="R63" s="11">
        <f>10671.9-5950.24</f>
        <v>4721.66</v>
      </c>
      <c r="S63" s="12">
        <f>1518.4-1226.55</f>
        <v>291.85000000000014</v>
      </c>
      <c r="T63" s="11">
        <f>2102.05-1226.55</f>
        <v>875.50000000000023</v>
      </c>
      <c r="W63" s="11">
        <v>23225</v>
      </c>
      <c r="X63" s="11">
        <v>7237.02</v>
      </c>
      <c r="Y63" s="13">
        <f t="shared" si="8"/>
        <v>30462.02</v>
      </c>
      <c r="Z63" s="11">
        <f t="shared" si="9"/>
        <v>32335.84</v>
      </c>
      <c r="AA63" s="14">
        <f t="shared" si="10"/>
        <v>36059.18</v>
      </c>
      <c r="AB63" s="11">
        <v>0</v>
      </c>
      <c r="AC63" s="11">
        <v>0</v>
      </c>
      <c r="AD63" s="11">
        <v>0</v>
      </c>
      <c r="AE63" s="16" t="s">
        <v>90</v>
      </c>
    </row>
    <row r="64" spans="1:31" ht="16" x14ac:dyDescent="0.2">
      <c r="A64" s="8" t="s">
        <v>17</v>
      </c>
      <c r="B64" s="8" t="s">
        <v>25</v>
      </c>
      <c r="C64" s="8" t="s">
        <v>45</v>
      </c>
      <c r="D64" s="10">
        <v>46160</v>
      </c>
      <c r="E64" s="10">
        <v>46182</v>
      </c>
      <c r="F64" s="9">
        <f t="shared" si="4"/>
        <v>22</v>
      </c>
      <c r="G64" s="9" t="s">
        <v>27</v>
      </c>
      <c r="H64" s="8" t="s">
        <v>2</v>
      </c>
      <c r="I64" s="10">
        <v>46179</v>
      </c>
      <c r="J64" s="8" t="s">
        <v>43</v>
      </c>
      <c r="K64" s="9" t="s">
        <v>31</v>
      </c>
      <c r="L64" s="10">
        <v>46160</v>
      </c>
      <c r="M64" s="8" t="s">
        <v>23</v>
      </c>
      <c r="O64" s="8" t="s">
        <v>24</v>
      </c>
      <c r="P64" s="11" t="s">
        <v>19</v>
      </c>
      <c r="Q64" s="12">
        <v>0</v>
      </c>
      <c r="R64" s="11">
        <v>0</v>
      </c>
      <c r="S64" s="12">
        <v>0</v>
      </c>
      <c r="T64" s="11">
        <v>0</v>
      </c>
      <c r="W64" s="11">
        <v>27060</v>
      </c>
      <c r="X64" s="11">
        <v>7237.02</v>
      </c>
      <c r="Y64" s="13">
        <f t="shared" si="8"/>
        <v>34297.020000000004</v>
      </c>
      <c r="Z64" s="11">
        <f t="shared" si="9"/>
        <v>34297.020000000004</v>
      </c>
      <c r="AA64" s="14">
        <f t="shared" si="10"/>
        <v>34297.020000000004</v>
      </c>
      <c r="AB64" s="11">
        <v>0</v>
      </c>
      <c r="AC64" s="11">
        <v>0</v>
      </c>
      <c r="AD64" s="11">
        <v>0</v>
      </c>
      <c r="AE64" s="16" t="s">
        <v>165</v>
      </c>
    </row>
    <row r="65" spans="1:31" ht="16" x14ac:dyDescent="0.2">
      <c r="A65" s="8" t="s">
        <v>17</v>
      </c>
      <c r="B65" s="8" t="s">
        <v>110</v>
      </c>
      <c r="C65" s="8" t="s">
        <v>109</v>
      </c>
      <c r="D65" s="10">
        <v>46154</v>
      </c>
      <c r="E65" s="10">
        <v>46177</v>
      </c>
      <c r="F65" s="9">
        <f t="shared" si="4"/>
        <v>23</v>
      </c>
      <c r="G65" s="9" t="s">
        <v>199</v>
      </c>
      <c r="H65" s="8" t="s">
        <v>2</v>
      </c>
      <c r="I65" s="10">
        <v>46154</v>
      </c>
      <c r="J65" s="8" t="s">
        <v>111</v>
      </c>
      <c r="K65" s="22" t="s">
        <v>32</v>
      </c>
      <c r="L65" s="10">
        <v>46160</v>
      </c>
      <c r="M65" s="8" t="s">
        <v>149</v>
      </c>
      <c r="O65" s="8" t="s">
        <v>24</v>
      </c>
      <c r="P65" s="11" t="s">
        <v>19</v>
      </c>
      <c r="Q65" s="12">
        <f>9154.23-7151.69</f>
        <v>2002.54</v>
      </c>
      <c r="R65" s="11">
        <f>13142.86-7151.69</f>
        <v>5991.170000000001</v>
      </c>
      <c r="S65" s="12">
        <f>5120.61-4191.65</f>
        <v>928.96</v>
      </c>
      <c r="T65" s="11">
        <f>6989.18-4191.65</f>
        <v>2797.5300000000007</v>
      </c>
      <c r="W65" s="11">
        <v>25910</v>
      </c>
      <c r="X65" s="11">
        <v>5681.27</v>
      </c>
      <c r="Y65" s="13">
        <f t="shared" si="8"/>
        <v>31591.27</v>
      </c>
      <c r="Z65" s="11">
        <f t="shared" si="9"/>
        <v>34522.770000000004</v>
      </c>
      <c r="AA65" s="14">
        <f t="shared" si="10"/>
        <v>40379.97</v>
      </c>
      <c r="AB65" s="11">
        <v>0</v>
      </c>
      <c r="AC65" s="11">
        <v>0</v>
      </c>
      <c r="AD65" s="11">
        <v>0</v>
      </c>
      <c r="AE65" s="16" t="s">
        <v>117</v>
      </c>
    </row>
    <row r="66" spans="1:31" ht="16" x14ac:dyDescent="0.2">
      <c r="A66" s="8" t="s">
        <v>119</v>
      </c>
      <c r="B66" s="8" t="s">
        <v>30</v>
      </c>
      <c r="C66" s="8" t="s">
        <v>207</v>
      </c>
      <c r="D66" s="10">
        <v>46149</v>
      </c>
      <c r="E66" s="10">
        <v>46177</v>
      </c>
      <c r="F66" s="9">
        <f t="shared" ref="F66" si="11">E66-D66</f>
        <v>28</v>
      </c>
      <c r="G66" s="9" t="s">
        <v>199</v>
      </c>
      <c r="H66" s="8" t="s">
        <v>206</v>
      </c>
      <c r="I66" s="10">
        <v>46149</v>
      </c>
      <c r="J66" s="8" t="s">
        <v>166</v>
      </c>
      <c r="K66" s="9" t="s">
        <v>3</v>
      </c>
      <c r="L66" s="10">
        <v>46154</v>
      </c>
      <c r="M66" s="8" t="s">
        <v>191</v>
      </c>
      <c r="N66" s="10">
        <v>46163</v>
      </c>
      <c r="O66" s="8" t="s">
        <v>24</v>
      </c>
      <c r="P66" s="11" t="s">
        <v>19</v>
      </c>
      <c r="Q66" s="12">
        <v>0</v>
      </c>
      <c r="R66" s="11">
        <f>6580.03-5356.77</f>
        <v>1223.2599999999993</v>
      </c>
      <c r="S66" s="12">
        <v>0</v>
      </c>
      <c r="T66" s="11">
        <f>4358.58-3878.22</f>
        <v>480.36000000000013</v>
      </c>
      <c r="U66" s="12">
        <v>0</v>
      </c>
      <c r="V66" s="12">
        <f>10985.08-6542.88</f>
        <v>4442.2</v>
      </c>
      <c r="W66" s="11">
        <v>32033</v>
      </c>
      <c r="X66" s="11">
        <v>6424.94</v>
      </c>
      <c r="Y66" s="13">
        <f t="shared" si="8"/>
        <v>38457.94</v>
      </c>
      <c r="Z66" s="11">
        <f t="shared" si="9"/>
        <v>38457.94</v>
      </c>
      <c r="AA66" s="14">
        <f t="shared" si="10"/>
        <v>44603.76</v>
      </c>
      <c r="AB66" s="11">
        <v>0</v>
      </c>
      <c r="AC66" s="11">
        <v>0</v>
      </c>
      <c r="AD66" s="11">
        <v>0</v>
      </c>
      <c r="AE66" s="16" t="s">
        <v>205</v>
      </c>
    </row>
  </sheetData>
  <autoFilter ref="A1:AE66" xr:uid="{32575AA0-F91C-4A4F-83C0-31D2698AB4F7}">
    <sortState xmlns:xlrd2="http://schemas.microsoft.com/office/spreadsheetml/2017/richdata2" ref="A2:AE66">
      <sortCondition ref="F1:F66"/>
    </sortState>
  </autoFilter>
  <sortState xmlns:xlrd2="http://schemas.microsoft.com/office/spreadsheetml/2017/richdata2" ref="A3:AE51">
    <sortCondition ref="E2:E51"/>
    <sortCondition descending="1" ref="G2:G51"/>
    <sortCondition ref="K2:K51"/>
    <sortCondition ref="F2:F51"/>
    <sortCondition ref="AA2:AA51"/>
    <sortCondition ref="A2:A51"/>
  </sortState>
  <hyperlinks>
    <hyperlink ref="AE28" r:id="rId1" xr:uid="{6E2DB0EB-5B92-2B4A-9563-57C6EA09B4E5}"/>
    <hyperlink ref="AE21" r:id="rId2" xr:uid="{088E4D08-6D46-6548-945B-26ADA6C18A20}"/>
    <hyperlink ref="AE24" r:id="rId3" xr:uid="{1C9BCCAC-94FF-DE40-B2B6-60FDBA5C2819}"/>
    <hyperlink ref="AE31" r:id="rId4" xr:uid="{7FD5B6D3-CB78-384E-B536-35DB7C4D8777}"/>
    <hyperlink ref="AE8" r:id="rId5" xr:uid="{3BBCDE65-EAFC-5740-8C08-AFCD6558280F}"/>
    <hyperlink ref="AE25" r:id="rId6" xr:uid="{890232E7-288D-C844-9904-529F885B2A1B}"/>
    <hyperlink ref="AE52" r:id="rId7" xr:uid="{524E87FB-23F7-5A49-9254-5A9C9F8B3918}"/>
    <hyperlink ref="AE51" r:id="rId8" xr:uid="{75557E22-FCE9-1D40-AABB-02090C551B83}"/>
    <hyperlink ref="AE30" r:id="rId9" xr:uid="{45BE03EA-C6A9-5143-B651-58DA7649D050}"/>
    <hyperlink ref="AE38" r:id="rId10" xr:uid="{FC2A37AD-5175-FC43-8F54-3CF6C51B22AA}"/>
    <hyperlink ref="AE32" r:id="rId11" xr:uid="{5405A8C6-8A2F-EE43-96FE-673BFBCA2826}"/>
    <hyperlink ref="AE5" r:id="rId12" xr:uid="{915CF863-8254-6B41-945C-874DDDA0BFD8}"/>
    <hyperlink ref="AE4" r:id="rId13" xr:uid="{04174B13-A383-B446-B665-95BC66968032}"/>
    <hyperlink ref="AE18" r:id="rId14" xr:uid="{A43FFE1C-8A6D-CE44-8339-9BFD4BAA8B38}"/>
    <hyperlink ref="AE41" r:id="rId15" xr:uid="{0B615680-24AC-954C-A9D1-F12CF3DCC2FD}"/>
    <hyperlink ref="AE44" r:id="rId16" xr:uid="{E543DB28-12B2-594A-BD12-F489848FC37B}"/>
    <hyperlink ref="AE56" r:id="rId17" xr:uid="{00CBA01E-A11F-D140-AA2C-5609B409B9CE}"/>
    <hyperlink ref="AE57" r:id="rId18" xr:uid="{FCD55EC8-34B6-C04E-B89C-8991C1C28FB4}"/>
    <hyperlink ref="AE35" r:id="rId19" xr:uid="{9E8DB2BE-1F66-5B4C-A5DE-43E83595B4CF}"/>
    <hyperlink ref="AE36" r:id="rId20" xr:uid="{0C7B817C-C3DC-9E4D-97B4-75E43545E8FC}"/>
    <hyperlink ref="AE45" r:id="rId21" xr:uid="{1E10A8FB-46E2-F343-87E7-6C01C78662EF}"/>
    <hyperlink ref="AE58" r:id="rId22" xr:uid="{CEA1CFB5-5A66-6449-B382-9C36F94484B4}"/>
    <hyperlink ref="AE59" r:id="rId23" xr:uid="{E401ADD0-4755-1747-A9F7-1345AF5950ED}"/>
    <hyperlink ref="AE9" r:id="rId24" xr:uid="{3067224B-4E38-7348-9E06-A53FA3EE31DC}"/>
    <hyperlink ref="AE12" r:id="rId25" xr:uid="{4C7C35B3-B1ED-D84F-A6A1-63499F236828}"/>
    <hyperlink ref="AE27" r:id="rId26" xr:uid="{B9772FC3-2036-D048-9826-2D316FC91E56}"/>
    <hyperlink ref="AE13" r:id="rId27" xr:uid="{4726E980-26AD-4241-8A90-C99781A477D1}"/>
    <hyperlink ref="AE14" r:id="rId28" xr:uid="{4066899D-4D11-4B40-9EC3-F87A1913D041}"/>
    <hyperlink ref="AE23" r:id="rId29" xr:uid="{920EC9C6-4173-6B4E-A4B2-72ADF0F301AD}"/>
    <hyperlink ref="AE46" r:id="rId30" xr:uid="{C6C6E0E6-E63C-EF4D-9843-A2B5631CD897}"/>
    <hyperlink ref="AE47" r:id="rId31" xr:uid="{10EC0FF5-F207-EF41-9E60-A9A0D68713A5}"/>
    <hyperlink ref="AE63" r:id="rId32" xr:uid="{992D7244-6798-F94D-9B8D-0C50BA7E3975}"/>
    <hyperlink ref="AE26" r:id="rId33" xr:uid="{5FCA2D05-5F78-A74B-A18B-697521F47973}"/>
    <hyperlink ref="AE15" r:id="rId34" xr:uid="{A1F7037C-0690-7441-AF11-46620D16BAB3}"/>
    <hyperlink ref="AE65" r:id="rId35" xr:uid="{12ABD41C-7852-FA49-B4C5-16D51485BFEF}"/>
    <hyperlink ref="AE42" r:id="rId36" xr:uid="{3E0F7C74-E000-7B47-91B9-8E68147A6860}"/>
    <hyperlink ref="AE64" r:id="rId37" xr:uid="{9F922AB3-75CE-794F-A0D9-069DF9BC757D}"/>
    <hyperlink ref="AE20" r:id="rId38" xr:uid="{669E7084-D0FB-FA44-A10B-C0960BCC0F7E}"/>
    <hyperlink ref="AE62" r:id="rId39" xr:uid="{DEC4C2AC-E297-FA41-81B7-A3BB5D789DB5}"/>
    <hyperlink ref="AE7" r:id="rId40" xr:uid="{4293AE5F-E2D7-884D-B6E6-AB4AC5261493}"/>
    <hyperlink ref="AE2" r:id="rId41" xr:uid="{698E3D95-A75A-CE41-A13F-154B40257CBF}"/>
    <hyperlink ref="AE53" r:id="rId42" xr:uid="{6119CAFD-1FB8-F04D-93BB-460F80595DE7}"/>
    <hyperlink ref="AE48" r:id="rId43" xr:uid="{D718443D-180E-724A-84DB-DEDF551CFC1F}"/>
    <hyperlink ref="AE39" r:id="rId44" xr:uid="{4D898417-4DB4-D440-81EB-FB7BA2CCDA05}"/>
    <hyperlink ref="AE49" r:id="rId45" xr:uid="{9EE37993-A171-A94F-9653-485250A85C60}"/>
    <hyperlink ref="AE50" r:id="rId46" xr:uid="{C2157E43-088B-514B-AF77-62DC88F6EF8E}"/>
    <hyperlink ref="AE19" r:id="rId47" xr:uid="{591DC140-A0BF-DB43-9DDC-CFEC8DCDC0E1}"/>
    <hyperlink ref="AE33" r:id="rId48" xr:uid="{2DA5E8E3-6FE9-1A47-9F09-F62D99823286}"/>
    <hyperlink ref="AE40" r:id="rId49" xr:uid="{06B3A5B3-3E53-694A-AD3B-43F65F08E0CD}"/>
    <hyperlink ref="AE60" r:id="rId50" xr:uid="{FB5CA445-F37A-8C4A-A760-A6502AF5344A}"/>
    <hyperlink ref="AE54" r:id="rId51" xr:uid="{93AB204E-FA9E-B843-A8F6-E46B9CBB6CEB}"/>
    <hyperlink ref="AE55" r:id="rId52" xr:uid="{377661FF-371F-7748-B1D7-D63586A49A0D}"/>
    <hyperlink ref="AE34" r:id="rId53" xr:uid="{C01FBD50-0F87-EA41-9A55-4610506AE8BA}"/>
    <hyperlink ref="AE16" r:id="rId54" xr:uid="{E1A5CCCD-0111-B94D-A4FE-02D2EA869256}"/>
    <hyperlink ref="AE61" r:id="rId55" xr:uid="{39A4AEB0-F636-EC45-AADF-A95D5BA8BB61}"/>
    <hyperlink ref="AE66" r:id="rId56" xr:uid="{294FA9C8-5328-4B43-9557-4FE694721DFD}"/>
    <hyperlink ref="AE29" r:id="rId57" xr:uid="{C7CCBF19-B10C-0544-A896-0FC2CB45B224}"/>
    <hyperlink ref="AE17" r:id="rId58" xr:uid="{C4D2C865-D49A-A846-87FA-1555A7B3C727}"/>
    <hyperlink ref="AE6" r:id="rId59" xr:uid="{98011446-9EC8-6F42-B0BF-6EB86611752D}"/>
  </hyperlinks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6820D-81C0-6849-B92E-D65DC21B0CEF}">
  <dimension ref="A1:Y103"/>
  <sheetViews>
    <sheetView tabSelected="1" workbookViewId="0">
      <pane ySplit="1" topLeftCell="A2" activePane="bottomLeft" state="frozen"/>
      <selection pane="bottomLeft" activeCell="C26" sqref="C26"/>
    </sheetView>
  </sheetViews>
  <sheetFormatPr baseColWidth="10" defaultRowHeight="16" x14ac:dyDescent="0.2"/>
  <cols>
    <col min="1" max="1" width="10.83203125" bestFit="1" customWidth="1"/>
    <col min="2" max="2" width="25.33203125" bestFit="1" customWidth="1"/>
    <col min="3" max="3" width="73" bestFit="1" customWidth="1"/>
    <col min="4" max="4" width="9.1640625" style="23" bestFit="1" customWidth="1"/>
    <col min="5" max="5" width="8.1640625" style="23" bestFit="1" customWidth="1"/>
    <col min="6" max="6" width="12.33203125" bestFit="1" customWidth="1"/>
    <col min="7" max="7" width="8.1640625" bestFit="1" customWidth="1"/>
    <col min="8" max="8" width="8.5" bestFit="1" customWidth="1"/>
    <col min="9" max="9" width="11.33203125" bestFit="1" customWidth="1"/>
    <col min="10" max="10" width="10" bestFit="1" customWidth="1"/>
    <col min="11" max="11" width="12.5" bestFit="1" customWidth="1"/>
    <col min="12" max="12" width="12.6640625" bestFit="1" customWidth="1"/>
    <col min="13" max="13" width="14.83203125" bestFit="1" customWidth="1"/>
    <col min="14" max="14" width="11.83203125" bestFit="1" customWidth="1"/>
    <col min="15" max="15" width="14" style="23" bestFit="1" customWidth="1"/>
    <col min="16" max="16" width="11.1640625" bestFit="1" customWidth="1"/>
    <col min="17" max="17" width="13.33203125" bestFit="1" customWidth="1"/>
    <col min="18" max="18" width="20" style="29" bestFit="1" customWidth="1"/>
    <col min="19" max="19" width="18.6640625" style="29" bestFit="1" customWidth="1"/>
    <col min="20" max="20" width="20.83203125" style="29" bestFit="1" customWidth="1"/>
    <col min="21" max="21" width="19.5" style="29" bestFit="1" customWidth="1"/>
    <col min="22" max="22" width="19.33203125" style="29" bestFit="1" customWidth="1"/>
    <col min="23" max="23" width="18" bestFit="1" customWidth="1"/>
    <col min="24" max="24" width="12.83203125" bestFit="1" customWidth="1"/>
    <col min="25" max="25" width="13" style="28" bestFit="1" customWidth="1"/>
  </cols>
  <sheetData>
    <row r="1" spans="1:25" x14ac:dyDescent="0.2">
      <c r="A1" t="s">
        <v>216</v>
      </c>
      <c r="B1" t="s">
        <v>217</v>
      </c>
      <c r="C1" t="s">
        <v>218</v>
      </c>
      <c r="D1" s="23" t="s">
        <v>219</v>
      </c>
      <c r="E1" s="23" t="s">
        <v>220</v>
      </c>
      <c r="F1" t="s">
        <v>221</v>
      </c>
      <c r="G1" t="s">
        <v>222</v>
      </c>
      <c r="H1" t="s">
        <v>223</v>
      </c>
      <c r="I1" t="s">
        <v>224</v>
      </c>
      <c r="J1" t="s">
        <v>225</v>
      </c>
      <c r="K1" t="s">
        <v>226</v>
      </c>
      <c r="L1" t="s">
        <v>227</v>
      </c>
      <c r="M1" t="s">
        <v>228</v>
      </c>
      <c r="N1" t="s">
        <v>229</v>
      </c>
      <c r="O1" s="23" t="s">
        <v>230</v>
      </c>
      <c r="P1" t="s">
        <v>231</v>
      </c>
      <c r="Q1" t="s">
        <v>232</v>
      </c>
      <c r="R1" s="29" t="s">
        <v>233</v>
      </c>
      <c r="S1" s="29" t="s">
        <v>234</v>
      </c>
      <c r="T1" s="29" t="s">
        <v>235</v>
      </c>
      <c r="U1" s="29" t="s">
        <v>236</v>
      </c>
      <c r="V1" s="29" t="s">
        <v>237</v>
      </c>
      <c r="W1" t="s">
        <v>238</v>
      </c>
      <c r="X1" t="s">
        <v>239</v>
      </c>
      <c r="Y1" s="28" t="s">
        <v>240</v>
      </c>
    </row>
    <row r="2" spans="1:25" x14ac:dyDescent="0.2">
      <c r="A2" s="8" t="s">
        <v>51</v>
      </c>
      <c r="B2" s="8" t="s">
        <v>58</v>
      </c>
      <c r="C2" s="17"/>
      <c r="D2" s="10">
        <v>46163</v>
      </c>
      <c r="E2" s="10">
        <v>46177</v>
      </c>
      <c r="F2" s="9">
        <f>E2-D2</f>
        <v>14</v>
      </c>
      <c r="G2" s="9" t="s">
        <v>27</v>
      </c>
      <c r="H2" s="8" t="s">
        <v>149</v>
      </c>
      <c r="I2" s="9" t="s">
        <v>3</v>
      </c>
      <c r="J2" s="8" t="s">
        <v>148</v>
      </c>
      <c r="K2" s="27">
        <v>41274.15</v>
      </c>
      <c r="L2" s="8" t="s">
        <v>11</v>
      </c>
      <c r="M2" s="10">
        <v>46173</v>
      </c>
      <c r="N2" s="8" t="s">
        <v>64</v>
      </c>
      <c r="O2" s="10">
        <v>46163</v>
      </c>
      <c r="P2" s="8" t="s">
        <v>149</v>
      </c>
      <c r="Q2" s="10"/>
      <c r="R2" s="11">
        <v>11713.699999999997</v>
      </c>
      <c r="S2" s="12"/>
      <c r="T2" s="11"/>
      <c r="U2" s="12"/>
      <c r="V2" s="12">
        <v>0</v>
      </c>
      <c r="W2" s="12">
        <v>0</v>
      </c>
      <c r="X2" s="8" t="s">
        <v>25</v>
      </c>
      <c r="Y2" s="11">
        <v>10573.94</v>
      </c>
    </row>
    <row r="3" spans="1:25" x14ac:dyDescent="0.2">
      <c r="A3" s="8" t="s">
        <v>51</v>
      </c>
      <c r="B3" s="8" t="s">
        <v>55</v>
      </c>
      <c r="C3" s="26" t="s">
        <v>75</v>
      </c>
      <c r="D3" s="10">
        <v>46161</v>
      </c>
      <c r="E3" s="10">
        <v>46177</v>
      </c>
      <c r="F3" s="9">
        <f>E3-D3</f>
        <v>16</v>
      </c>
      <c r="G3" s="9" t="s">
        <v>27</v>
      </c>
      <c r="H3" s="8" t="s">
        <v>329</v>
      </c>
      <c r="I3" s="9" t="s">
        <v>3</v>
      </c>
      <c r="J3" s="8" t="s">
        <v>148</v>
      </c>
      <c r="K3" s="27">
        <v>28547.58</v>
      </c>
      <c r="L3" s="8" t="s">
        <v>61</v>
      </c>
      <c r="M3" s="10">
        <v>46173</v>
      </c>
      <c r="N3" s="8" t="s">
        <v>64</v>
      </c>
      <c r="O3" s="10">
        <v>46161</v>
      </c>
      <c r="P3" s="8" t="s">
        <v>66</v>
      </c>
      <c r="Q3" s="10">
        <v>46165</v>
      </c>
      <c r="R3" s="11">
        <f>9646.02-6122.05</f>
        <v>3523.9700000000003</v>
      </c>
      <c r="S3" s="12">
        <f>7296.69-6122.05</f>
        <v>1174.6399999999994</v>
      </c>
      <c r="T3" s="11">
        <f>3716.77-1996.05</f>
        <v>1720.72</v>
      </c>
      <c r="U3" s="12">
        <f>2569.63-1996.05</f>
        <v>573.58000000000015</v>
      </c>
      <c r="V3" s="12">
        <v>0</v>
      </c>
      <c r="W3" s="12">
        <v>0</v>
      </c>
      <c r="X3" s="8" t="s">
        <v>25</v>
      </c>
      <c r="Y3" s="11">
        <v>10700.39</v>
      </c>
    </row>
    <row r="4" spans="1:25" x14ac:dyDescent="0.2">
      <c r="A4" s="8" t="s">
        <v>51</v>
      </c>
      <c r="B4" s="8" t="s">
        <v>59</v>
      </c>
      <c r="C4" s="17"/>
      <c r="D4" s="10">
        <v>46165</v>
      </c>
      <c r="E4" s="10">
        <v>46183</v>
      </c>
      <c r="F4" s="9">
        <f>E4-D4</f>
        <v>18</v>
      </c>
      <c r="G4" s="9" t="s">
        <v>27</v>
      </c>
      <c r="H4" s="8" t="s">
        <v>149</v>
      </c>
      <c r="I4" s="9" t="s">
        <v>3</v>
      </c>
      <c r="J4" s="8" t="s">
        <v>24</v>
      </c>
      <c r="K4" s="27">
        <v>42272.88</v>
      </c>
      <c r="L4" s="8" t="s">
        <v>11</v>
      </c>
      <c r="M4" s="10">
        <v>46179</v>
      </c>
      <c r="N4" s="8" t="s">
        <v>64</v>
      </c>
      <c r="O4" s="10">
        <v>46165</v>
      </c>
      <c r="P4" s="8" t="s">
        <v>149</v>
      </c>
      <c r="Q4" s="10"/>
      <c r="R4" s="11">
        <v>10707.57</v>
      </c>
      <c r="S4" s="12"/>
      <c r="T4" s="11"/>
      <c r="U4" s="12"/>
      <c r="V4" s="12"/>
      <c r="W4" s="12"/>
      <c r="X4" s="8" t="s">
        <v>25</v>
      </c>
      <c r="Y4" s="11">
        <v>10573.93</v>
      </c>
    </row>
    <row r="5" spans="1:25" x14ac:dyDescent="0.2">
      <c r="A5" s="8" t="s">
        <v>51</v>
      </c>
      <c r="B5" s="8" t="s">
        <v>57</v>
      </c>
      <c r="C5" s="17"/>
      <c r="D5" s="10">
        <v>46165</v>
      </c>
      <c r="E5" s="10">
        <v>46179</v>
      </c>
      <c r="F5" s="9">
        <f>E5-D5</f>
        <v>14</v>
      </c>
      <c r="G5" s="9" t="s">
        <v>27</v>
      </c>
      <c r="H5" s="8" t="s">
        <v>149</v>
      </c>
      <c r="I5" s="9" t="s">
        <v>3</v>
      </c>
      <c r="J5" s="8" t="s">
        <v>24</v>
      </c>
      <c r="K5" s="27">
        <v>41516.129999999997</v>
      </c>
      <c r="L5" s="8" t="s">
        <v>11</v>
      </c>
      <c r="M5" s="10">
        <v>46176</v>
      </c>
      <c r="N5" s="8" t="s">
        <v>64</v>
      </c>
      <c r="O5" s="10">
        <v>46165</v>
      </c>
      <c r="P5" s="8" t="s">
        <v>149</v>
      </c>
      <c r="Q5" s="10"/>
      <c r="R5" s="11">
        <v>11162.260000000002</v>
      </c>
      <c r="S5" s="12"/>
      <c r="T5" s="11"/>
      <c r="U5" s="12"/>
      <c r="V5" s="12"/>
      <c r="W5" s="12"/>
      <c r="X5" s="8" t="s">
        <v>25</v>
      </c>
      <c r="Y5" s="11">
        <v>10574.49</v>
      </c>
    </row>
    <row r="6" spans="1:25" x14ac:dyDescent="0.2">
      <c r="A6" s="8" t="s">
        <v>51</v>
      </c>
      <c r="B6" s="8" t="s">
        <v>54</v>
      </c>
      <c r="C6" s="17"/>
      <c r="D6" s="10">
        <v>46164</v>
      </c>
      <c r="E6" s="10">
        <v>46183</v>
      </c>
      <c r="F6" s="9">
        <f>E6-D6</f>
        <v>19</v>
      </c>
      <c r="G6" s="9" t="s">
        <v>27</v>
      </c>
      <c r="H6" s="8" t="s">
        <v>329</v>
      </c>
      <c r="I6" s="9" t="s">
        <v>3</v>
      </c>
      <c r="J6" s="8" t="s">
        <v>24</v>
      </c>
      <c r="K6" s="27">
        <v>30148.17</v>
      </c>
      <c r="L6" s="8" t="s">
        <v>11</v>
      </c>
      <c r="M6" s="10">
        <v>46179</v>
      </c>
      <c r="N6" s="8" t="s">
        <v>64</v>
      </c>
      <c r="O6" s="10">
        <v>46174</v>
      </c>
      <c r="P6" s="8" t="s">
        <v>66</v>
      </c>
      <c r="Q6" s="10">
        <v>2205</v>
      </c>
      <c r="R6" s="11">
        <v>4429.1900000000023</v>
      </c>
      <c r="S6" s="12"/>
      <c r="T6" s="11"/>
      <c r="U6" s="12"/>
      <c r="V6" s="12">
        <v>0</v>
      </c>
      <c r="W6" s="12">
        <v>0</v>
      </c>
      <c r="X6" s="8" t="s">
        <v>25</v>
      </c>
      <c r="Y6" s="11">
        <v>10575.62</v>
      </c>
    </row>
    <row r="7" spans="1:25" x14ac:dyDescent="0.2">
      <c r="A7" s="8" t="s">
        <v>51</v>
      </c>
      <c r="B7" s="8" t="s">
        <v>53</v>
      </c>
      <c r="C7" s="26" t="s">
        <v>81</v>
      </c>
      <c r="D7" s="10">
        <v>46165</v>
      </c>
      <c r="E7" s="10">
        <v>46183</v>
      </c>
      <c r="F7" s="9">
        <f>E7-D7</f>
        <v>18</v>
      </c>
      <c r="G7" s="9" t="s">
        <v>27</v>
      </c>
      <c r="H7" s="8" t="s">
        <v>329</v>
      </c>
      <c r="I7" s="9" t="s">
        <v>3</v>
      </c>
      <c r="J7" s="8" t="s">
        <v>24</v>
      </c>
      <c r="K7" s="27">
        <v>30607.35</v>
      </c>
      <c r="L7" s="8" t="s">
        <v>11</v>
      </c>
      <c r="M7" s="10">
        <v>46179</v>
      </c>
      <c r="N7" s="8" t="s">
        <v>64</v>
      </c>
      <c r="O7" s="10">
        <v>46174</v>
      </c>
      <c r="P7" s="8" t="s">
        <v>65</v>
      </c>
      <c r="Q7" s="10">
        <v>46165</v>
      </c>
      <c r="R7" s="11">
        <f>10047.47-7014.91</f>
        <v>3032.5599999999995</v>
      </c>
      <c r="S7" s="12">
        <f>8360.77-7014.91</f>
        <v>1345.8600000000006</v>
      </c>
      <c r="T7" s="11">
        <f>4423.25-3027.11</f>
        <v>1396.1399999999999</v>
      </c>
      <c r="U7" s="12">
        <f>3492.48-3027.11</f>
        <v>465.36999999999989</v>
      </c>
      <c r="V7" s="12">
        <v>0</v>
      </c>
      <c r="W7" s="12">
        <v>0</v>
      </c>
      <c r="X7" s="8" t="s">
        <v>25</v>
      </c>
      <c r="Y7" s="11">
        <v>10574.49</v>
      </c>
    </row>
    <row r="8" spans="1:25" x14ac:dyDescent="0.2">
      <c r="A8" s="8" t="s">
        <v>51</v>
      </c>
      <c r="B8" s="8" t="s">
        <v>56</v>
      </c>
      <c r="C8" s="17"/>
      <c r="D8" s="10">
        <v>46165</v>
      </c>
      <c r="E8" s="10">
        <v>46176</v>
      </c>
      <c r="F8" s="9">
        <f>E8-D8</f>
        <v>11</v>
      </c>
      <c r="G8" s="9" t="s">
        <v>27</v>
      </c>
      <c r="H8" s="8" t="s">
        <v>149</v>
      </c>
      <c r="I8" s="9" t="s">
        <v>3</v>
      </c>
      <c r="J8" s="8" t="s">
        <v>148</v>
      </c>
      <c r="K8" s="27">
        <v>39478.58</v>
      </c>
      <c r="L8" s="8" t="s">
        <v>62</v>
      </c>
      <c r="M8" s="10">
        <v>46173</v>
      </c>
      <c r="N8" s="8" t="s">
        <v>64</v>
      </c>
      <c r="O8" s="10">
        <v>46165</v>
      </c>
      <c r="P8" s="8" t="s">
        <v>149</v>
      </c>
      <c r="Q8" s="10"/>
      <c r="R8" s="11">
        <v>12236.989999999998</v>
      </c>
      <c r="S8" s="12"/>
      <c r="T8" s="11"/>
      <c r="U8" s="12"/>
      <c r="V8" s="12">
        <v>0</v>
      </c>
      <c r="W8" s="12">
        <v>0</v>
      </c>
      <c r="X8" s="8" t="s">
        <v>25</v>
      </c>
      <c r="Y8" s="11">
        <v>10574.5</v>
      </c>
    </row>
    <row r="9" spans="1:25" x14ac:dyDescent="0.2">
      <c r="A9" s="8" t="s">
        <v>51</v>
      </c>
      <c r="B9" s="8" t="s">
        <v>52</v>
      </c>
      <c r="C9" s="26" t="s">
        <v>78</v>
      </c>
      <c r="D9" s="10">
        <v>46162</v>
      </c>
      <c r="E9" s="10">
        <v>46178</v>
      </c>
      <c r="F9" s="9">
        <f>E9-D9</f>
        <v>16</v>
      </c>
      <c r="G9" s="9" t="s">
        <v>27</v>
      </c>
      <c r="H9" s="8" t="s">
        <v>149</v>
      </c>
      <c r="I9" s="9" t="s">
        <v>16</v>
      </c>
      <c r="J9" s="8" t="s">
        <v>24</v>
      </c>
      <c r="K9" s="27">
        <v>26518.65</v>
      </c>
      <c r="L9" s="8" t="s">
        <v>60</v>
      </c>
      <c r="M9" s="10">
        <v>46174</v>
      </c>
      <c r="N9" s="8" t="s">
        <v>63</v>
      </c>
      <c r="O9" s="10">
        <v>46162</v>
      </c>
      <c r="P9" s="8" t="s">
        <v>149</v>
      </c>
      <c r="Q9" s="10"/>
      <c r="R9" s="11">
        <f>12840.69-7268.32</f>
        <v>5572.3700000000008</v>
      </c>
      <c r="S9" s="12">
        <f>9166.14-7268.32</f>
        <v>1897.8199999999997</v>
      </c>
      <c r="T9" s="11">
        <f>5473.51-3318.15</f>
        <v>2155.36</v>
      </c>
      <c r="U9" s="12">
        <f>4032.11-3318.15</f>
        <v>713.96</v>
      </c>
      <c r="V9" s="12"/>
      <c r="W9" s="12"/>
      <c r="X9" s="8" t="s">
        <v>25</v>
      </c>
      <c r="Y9" s="11">
        <v>8079.53</v>
      </c>
    </row>
    <row r="10" spans="1:25" x14ac:dyDescent="0.2">
      <c r="A10" s="8" t="s">
        <v>51</v>
      </c>
      <c r="B10" s="8" t="s">
        <v>260</v>
      </c>
      <c r="C10" s="26" t="s">
        <v>290</v>
      </c>
      <c r="D10" s="10">
        <v>46161</v>
      </c>
      <c r="E10" s="10">
        <v>46177</v>
      </c>
      <c r="F10" s="9">
        <f>E10-D10</f>
        <v>16</v>
      </c>
      <c r="G10" s="9" t="s">
        <v>27</v>
      </c>
      <c r="H10" s="8" t="s">
        <v>149</v>
      </c>
      <c r="I10" s="9" t="s">
        <v>16</v>
      </c>
      <c r="J10" s="8" t="s">
        <v>24</v>
      </c>
      <c r="K10" s="27">
        <v>26896.85</v>
      </c>
      <c r="L10" s="8" t="s">
        <v>11</v>
      </c>
      <c r="M10" s="10">
        <v>46173</v>
      </c>
      <c r="N10" s="8" t="s">
        <v>63</v>
      </c>
      <c r="O10" s="10">
        <v>46161</v>
      </c>
      <c r="P10" s="8" t="s">
        <v>149</v>
      </c>
      <c r="Q10" s="10"/>
      <c r="R10" s="11">
        <f>12840.69-7268.32</f>
        <v>5572.3700000000008</v>
      </c>
      <c r="S10" s="12">
        <f>9166.14-7268.32</f>
        <v>1897.8199999999997</v>
      </c>
      <c r="T10" s="11">
        <f>6113.94-3696.35</f>
        <v>2417.5899999999997</v>
      </c>
      <c r="U10" s="12">
        <f>4501.97-3696.35</f>
        <v>805.62000000000035</v>
      </c>
      <c r="V10" s="12"/>
      <c r="W10" s="12"/>
      <c r="X10" s="8"/>
      <c r="Y10" s="11">
        <v>10000</v>
      </c>
    </row>
    <row r="11" spans="1:25" x14ac:dyDescent="0.2">
      <c r="A11" s="8" t="s">
        <v>51</v>
      </c>
      <c r="B11" s="8" t="s">
        <v>266</v>
      </c>
      <c r="C11" s="24" t="s">
        <v>296</v>
      </c>
      <c r="D11" s="10">
        <v>46162</v>
      </c>
      <c r="E11" s="10">
        <v>46181</v>
      </c>
      <c r="F11" s="9">
        <f>E11-D11</f>
        <v>19</v>
      </c>
      <c r="G11" s="9" t="s">
        <v>27</v>
      </c>
      <c r="H11" s="8" t="s">
        <v>149</v>
      </c>
      <c r="I11" s="9" t="s">
        <v>16</v>
      </c>
      <c r="J11" s="8" t="s">
        <v>24</v>
      </c>
      <c r="K11" s="27">
        <v>26247.21</v>
      </c>
      <c r="L11" s="8" t="s">
        <v>60</v>
      </c>
      <c r="M11" s="10">
        <v>46177</v>
      </c>
      <c r="N11" s="8" t="s">
        <v>63</v>
      </c>
      <c r="O11" s="10">
        <v>46162</v>
      </c>
      <c r="P11" s="8" t="s">
        <v>149</v>
      </c>
      <c r="Q11" s="10"/>
      <c r="R11" s="11">
        <f>12840.69-7268.32</f>
        <v>5572.3700000000008</v>
      </c>
      <c r="S11" s="12">
        <f>9166.14-7268.32</f>
        <v>1897.8199999999997</v>
      </c>
      <c r="T11" s="11">
        <f>4192.65-2561.72</f>
        <v>1630.9299999999998</v>
      </c>
      <c r="U11" s="12">
        <f>3104.43-2561.72</f>
        <v>542.71</v>
      </c>
      <c r="V11" s="12"/>
      <c r="W11" s="12"/>
      <c r="X11" s="8" t="s">
        <v>215</v>
      </c>
      <c r="Y11" s="11">
        <v>10388.24</v>
      </c>
    </row>
    <row r="12" spans="1:25" x14ac:dyDescent="0.2">
      <c r="A12" s="8" t="s">
        <v>51</v>
      </c>
      <c r="B12" s="8" t="s">
        <v>69</v>
      </c>
      <c r="C12" s="26" t="s">
        <v>80</v>
      </c>
      <c r="D12" s="10">
        <v>46154</v>
      </c>
      <c r="E12" s="10">
        <v>46174</v>
      </c>
      <c r="F12" s="9">
        <f>E12-D12</f>
        <v>20</v>
      </c>
      <c r="G12" s="9" t="s">
        <v>199</v>
      </c>
      <c r="H12" s="8" t="s">
        <v>329</v>
      </c>
      <c r="I12" s="9" t="s">
        <v>3</v>
      </c>
      <c r="J12" s="8" t="s">
        <v>24</v>
      </c>
      <c r="K12" s="27">
        <v>26847.51</v>
      </c>
      <c r="L12" s="8" t="s">
        <v>61</v>
      </c>
      <c r="M12" s="10">
        <v>46154</v>
      </c>
      <c r="N12" s="8" t="s">
        <v>64</v>
      </c>
      <c r="O12" s="10">
        <v>46158</v>
      </c>
      <c r="P12" s="8" t="s">
        <v>65</v>
      </c>
      <c r="Q12" s="10">
        <v>46163</v>
      </c>
      <c r="R12" s="11">
        <f>5224.94-3316.17</f>
        <v>1908.7699999999995</v>
      </c>
      <c r="S12" s="12">
        <f>3951.96-3316.17</f>
        <v>635.79</v>
      </c>
      <c r="T12" s="11">
        <f>3716.77-1996.05</f>
        <v>1720.72</v>
      </c>
      <c r="U12" s="12">
        <f>2569.63-1996.05</f>
        <v>573.58000000000015</v>
      </c>
      <c r="V12" s="12">
        <v>0</v>
      </c>
      <c r="W12" s="12">
        <v>0</v>
      </c>
      <c r="X12" s="8" t="s">
        <v>30</v>
      </c>
      <c r="Y12" s="11">
        <v>8105</v>
      </c>
    </row>
    <row r="13" spans="1:25" x14ac:dyDescent="0.2">
      <c r="A13" s="8" t="s">
        <v>51</v>
      </c>
      <c r="B13" s="8" t="s">
        <v>10</v>
      </c>
      <c r="C13" s="26" t="s">
        <v>75</v>
      </c>
      <c r="D13" s="10">
        <v>46157</v>
      </c>
      <c r="E13" s="10">
        <v>46174</v>
      </c>
      <c r="F13" s="9">
        <f>E13-D13</f>
        <v>17</v>
      </c>
      <c r="G13" s="9" t="s">
        <v>199</v>
      </c>
      <c r="H13" s="8" t="s">
        <v>329</v>
      </c>
      <c r="I13" s="9" t="s">
        <v>3</v>
      </c>
      <c r="J13" s="8" t="s">
        <v>24</v>
      </c>
      <c r="K13" s="27">
        <v>30267.4</v>
      </c>
      <c r="L13" s="8" t="s">
        <v>11</v>
      </c>
      <c r="M13" s="10">
        <v>46157</v>
      </c>
      <c r="N13" s="8" t="s">
        <v>64</v>
      </c>
      <c r="O13" s="10">
        <v>46161</v>
      </c>
      <c r="P13" s="8" t="s">
        <v>71</v>
      </c>
      <c r="Q13" s="10">
        <v>46165</v>
      </c>
      <c r="R13" s="11">
        <f>10047.93-7014.87</f>
        <v>3033.0600000000004</v>
      </c>
      <c r="S13" s="12">
        <f>8360.78-7014.87</f>
        <v>1345.9100000000008</v>
      </c>
      <c r="T13" s="11">
        <f>5229.57-3459.45</f>
        <v>1770.12</v>
      </c>
      <c r="U13" s="12">
        <f>4049.72-3459.45</f>
        <v>590.27</v>
      </c>
      <c r="V13" s="12">
        <v>0</v>
      </c>
      <c r="W13" s="12">
        <v>0</v>
      </c>
      <c r="X13" s="8" t="s">
        <v>30</v>
      </c>
      <c r="Y13" s="11">
        <v>10600.3</v>
      </c>
    </row>
    <row r="14" spans="1:25" x14ac:dyDescent="0.2">
      <c r="A14" s="8" t="s">
        <v>51</v>
      </c>
      <c r="B14" s="8" t="s">
        <v>6</v>
      </c>
      <c r="C14" s="26" t="s">
        <v>76</v>
      </c>
      <c r="D14" s="10">
        <v>46162</v>
      </c>
      <c r="E14" s="10">
        <v>46179</v>
      </c>
      <c r="F14" s="9">
        <f>E14-D14</f>
        <v>17</v>
      </c>
      <c r="G14" s="9" t="s">
        <v>199</v>
      </c>
      <c r="H14" s="8" t="s">
        <v>329</v>
      </c>
      <c r="I14" s="9" t="s">
        <v>3</v>
      </c>
      <c r="J14" s="8" t="s">
        <v>24</v>
      </c>
      <c r="K14" s="27">
        <v>27904.19</v>
      </c>
      <c r="L14" s="8" t="s">
        <v>61</v>
      </c>
      <c r="M14" s="10">
        <v>46162</v>
      </c>
      <c r="N14" s="8" t="s">
        <v>64</v>
      </c>
      <c r="O14" s="10">
        <v>46174</v>
      </c>
      <c r="P14" s="8" t="s">
        <v>65</v>
      </c>
      <c r="Q14" s="10">
        <v>46165</v>
      </c>
      <c r="R14" s="11">
        <f>8440.29-5356.81</f>
        <v>3083.4800000000005</v>
      </c>
      <c r="S14" s="12">
        <f>6384.6-5356.81</f>
        <v>1027.79</v>
      </c>
      <c r="T14" s="11">
        <f>2787.59-1497.04</f>
        <v>1290.5500000000002</v>
      </c>
      <c r="U14" s="12">
        <f>1927.23-1497.04</f>
        <v>430.19000000000005</v>
      </c>
      <c r="V14" s="12">
        <v>0</v>
      </c>
      <c r="W14" s="12">
        <v>0</v>
      </c>
      <c r="X14" s="8" t="s">
        <v>25</v>
      </c>
      <c r="Y14" s="11">
        <v>10627</v>
      </c>
    </row>
    <row r="15" spans="1:25" x14ac:dyDescent="0.2">
      <c r="A15" s="8" t="s">
        <v>51</v>
      </c>
      <c r="B15" s="8" t="s">
        <v>8</v>
      </c>
      <c r="C15" s="26" t="s">
        <v>83</v>
      </c>
      <c r="D15" s="10">
        <v>46160</v>
      </c>
      <c r="E15" s="10">
        <v>46173</v>
      </c>
      <c r="F15" s="9">
        <f>E15-D15</f>
        <v>13</v>
      </c>
      <c r="G15" s="9" t="s">
        <v>199</v>
      </c>
      <c r="H15" s="8" t="s">
        <v>149</v>
      </c>
      <c r="I15" s="9" t="s">
        <v>3</v>
      </c>
      <c r="J15" s="8" t="s">
        <v>24</v>
      </c>
      <c r="K15" s="27">
        <v>39206.31</v>
      </c>
      <c r="L15" s="8" t="s">
        <v>12</v>
      </c>
      <c r="M15" s="10">
        <v>46160</v>
      </c>
      <c r="N15" s="8" t="s">
        <v>72</v>
      </c>
      <c r="O15" s="10">
        <v>46164</v>
      </c>
      <c r="P15" s="8" t="s">
        <v>149</v>
      </c>
      <c r="Q15" s="10"/>
      <c r="R15" s="11">
        <v>8651.44</v>
      </c>
      <c r="S15" s="12">
        <f>22947.68-19905.06</f>
        <v>3042.619999999999</v>
      </c>
      <c r="T15" s="11">
        <v>3306.88</v>
      </c>
      <c r="U15" s="12">
        <f>6418.79-5309.01</f>
        <v>1109.7799999999997</v>
      </c>
      <c r="V15" s="12"/>
      <c r="W15" s="12"/>
      <c r="X15" s="8" t="s">
        <v>25</v>
      </c>
      <c r="Y15" s="11">
        <v>10627</v>
      </c>
    </row>
    <row r="16" spans="1:25" x14ac:dyDescent="0.2">
      <c r="A16" s="8" t="s">
        <v>51</v>
      </c>
      <c r="B16" s="8" t="s">
        <v>7</v>
      </c>
      <c r="C16" s="17"/>
      <c r="D16" s="10">
        <v>46158</v>
      </c>
      <c r="E16" s="10">
        <v>46174</v>
      </c>
      <c r="F16" s="9">
        <f>E16-D16</f>
        <v>16</v>
      </c>
      <c r="G16" s="9" t="s">
        <v>199</v>
      </c>
      <c r="H16" s="8" t="s">
        <v>329</v>
      </c>
      <c r="I16" s="9" t="s">
        <v>3</v>
      </c>
      <c r="J16" s="8" t="s">
        <v>24</v>
      </c>
      <c r="K16" s="27">
        <v>28666.6</v>
      </c>
      <c r="L16" s="8" t="s">
        <v>61</v>
      </c>
      <c r="M16" s="10">
        <v>46158</v>
      </c>
      <c r="N16" s="8" t="s">
        <v>72</v>
      </c>
      <c r="O16" s="10">
        <v>46162</v>
      </c>
      <c r="P16" s="8" t="s">
        <v>65</v>
      </c>
      <c r="Q16" s="10">
        <v>46166</v>
      </c>
      <c r="R16" s="11">
        <v>4887.1100000000006</v>
      </c>
      <c r="S16" s="12"/>
      <c r="T16" s="11"/>
      <c r="U16" s="12"/>
      <c r="V16" s="12">
        <v>0</v>
      </c>
      <c r="W16" s="12">
        <v>0</v>
      </c>
      <c r="X16" s="8" t="s">
        <v>25</v>
      </c>
      <c r="Y16" s="11">
        <v>10627</v>
      </c>
    </row>
    <row r="17" spans="1:25" x14ac:dyDescent="0.2">
      <c r="A17" s="8" t="s">
        <v>51</v>
      </c>
      <c r="B17" s="8" t="s">
        <v>4</v>
      </c>
      <c r="C17" s="26" t="s">
        <v>82</v>
      </c>
      <c r="D17" s="10">
        <v>46162</v>
      </c>
      <c r="E17" s="10">
        <v>46179</v>
      </c>
      <c r="F17" s="9">
        <f>E17-D17</f>
        <v>17</v>
      </c>
      <c r="G17" s="9" t="s">
        <v>199</v>
      </c>
      <c r="H17" s="8" t="s">
        <v>149</v>
      </c>
      <c r="I17" s="9" t="s">
        <v>3</v>
      </c>
      <c r="J17" s="8" t="s">
        <v>24</v>
      </c>
      <c r="K17" s="27">
        <v>36339.01</v>
      </c>
      <c r="L17" s="8" t="s">
        <v>60</v>
      </c>
      <c r="M17" s="10">
        <v>46162</v>
      </c>
      <c r="N17" s="8" t="s">
        <v>72</v>
      </c>
      <c r="O17" s="10">
        <v>46166</v>
      </c>
      <c r="P17" s="8" t="s">
        <v>149</v>
      </c>
      <c r="Q17" s="10"/>
      <c r="R17" s="11">
        <f>29288.75-19319.66</f>
        <v>9969.09</v>
      </c>
      <c r="S17" s="12">
        <f>22947.62-19319.66</f>
        <v>3627.9599999999991</v>
      </c>
      <c r="T17" s="11">
        <f>4658.05-3027.11</f>
        <v>1630.94</v>
      </c>
      <c r="U17" s="12">
        <f>3571.22-3027.11</f>
        <v>544.10999999999967</v>
      </c>
      <c r="V17" s="12"/>
      <c r="W17" s="12"/>
      <c r="X17" s="8" t="s">
        <v>25</v>
      </c>
      <c r="Y17" s="11">
        <v>10700.39</v>
      </c>
    </row>
    <row r="18" spans="1:25" x14ac:dyDescent="0.2">
      <c r="A18" s="8" t="s">
        <v>51</v>
      </c>
      <c r="B18" s="8" t="s">
        <v>5</v>
      </c>
      <c r="C18" s="26" t="s">
        <v>74</v>
      </c>
      <c r="D18" s="10">
        <v>46158</v>
      </c>
      <c r="E18" s="10">
        <v>46174</v>
      </c>
      <c r="F18" s="9">
        <f>E18-D18</f>
        <v>16</v>
      </c>
      <c r="G18" s="9" t="s">
        <v>199</v>
      </c>
      <c r="H18" s="8" t="s">
        <v>329</v>
      </c>
      <c r="I18" s="9" t="s">
        <v>3</v>
      </c>
      <c r="J18" s="8" t="s">
        <v>148</v>
      </c>
      <c r="K18" s="27">
        <v>32652.44</v>
      </c>
      <c r="L18" s="8" t="s">
        <v>11</v>
      </c>
      <c r="M18" s="10">
        <v>46158</v>
      </c>
      <c r="N18" s="8" t="s">
        <v>73</v>
      </c>
      <c r="O18" s="10">
        <v>46162</v>
      </c>
      <c r="P18" s="8" t="s">
        <v>66</v>
      </c>
      <c r="Q18" s="10">
        <v>46166</v>
      </c>
      <c r="R18" s="11">
        <v>5394.94</v>
      </c>
      <c r="S18" s="12">
        <f>10776.16-8977.84</f>
        <v>1798.3199999999997</v>
      </c>
      <c r="T18" s="11">
        <v>2144.13</v>
      </c>
      <c r="U18" s="12">
        <f>4606.95-3891.78</f>
        <v>715.16999999999962</v>
      </c>
      <c r="V18" s="12">
        <v>0</v>
      </c>
      <c r="W18" s="12">
        <v>0</v>
      </c>
      <c r="X18" s="8" t="s">
        <v>25</v>
      </c>
      <c r="Y18" s="11">
        <v>10700.39</v>
      </c>
    </row>
    <row r="19" spans="1:25" x14ac:dyDescent="0.2">
      <c r="A19" s="8" t="s">
        <v>51</v>
      </c>
      <c r="B19" s="8" t="s">
        <v>9</v>
      </c>
      <c r="C19" s="26" t="s">
        <v>85</v>
      </c>
      <c r="D19" s="10">
        <v>46162</v>
      </c>
      <c r="E19" s="10">
        <v>46177</v>
      </c>
      <c r="F19" s="9">
        <f>E19-D19</f>
        <v>15</v>
      </c>
      <c r="G19" s="9" t="s">
        <v>199</v>
      </c>
      <c r="H19" s="8" t="s">
        <v>149</v>
      </c>
      <c r="I19" s="9" t="s">
        <v>3</v>
      </c>
      <c r="J19" s="8" t="s">
        <v>148</v>
      </c>
      <c r="K19" s="27">
        <v>46380.56</v>
      </c>
      <c r="L19" s="8" t="s">
        <v>11</v>
      </c>
      <c r="M19" s="10">
        <v>46162</v>
      </c>
      <c r="N19" s="8" t="s">
        <v>73</v>
      </c>
      <c r="O19" s="10">
        <v>46166</v>
      </c>
      <c r="P19" s="8" t="s">
        <v>149</v>
      </c>
      <c r="Q19" s="10"/>
      <c r="R19" s="11">
        <f>40458.66-28928.87</f>
        <v>11529.790000000005</v>
      </c>
      <c r="S19" s="12">
        <f>33127.86-28928.87</f>
        <v>4198.9900000000016</v>
      </c>
      <c r="T19" s="11">
        <f>5229.57-3459.45</f>
        <v>1770.12</v>
      </c>
      <c r="U19" s="12">
        <f>4049.72-3459.45</f>
        <v>590.27</v>
      </c>
      <c r="V19" s="12">
        <v>0</v>
      </c>
      <c r="W19" s="12">
        <v>0</v>
      </c>
      <c r="X19" s="8" t="s">
        <v>25</v>
      </c>
      <c r="Y19" s="11">
        <v>10699.83</v>
      </c>
    </row>
    <row r="20" spans="1:25" x14ac:dyDescent="0.2">
      <c r="A20" s="8" t="s">
        <v>51</v>
      </c>
      <c r="B20" s="8" t="s">
        <v>70</v>
      </c>
      <c r="C20" s="26" t="s">
        <v>84</v>
      </c>
      <c r="D20" s="10">
        <v>46163</v>
      </c>
      <c r="E20" s="10">
        <v>46174</v>
      </c>
      <c r="F20" s="9">
        <f>E20-D20</f>
        <v>11</v>
      </c>
      <c r="G20" s="9" t="s">
        <v>199</v>
      </c>
      <c r="H20" s="8" t="s">
        <v>149</v>
      </c>
      <c r="I20" s="9" t="s">
        <v>3</v>
      </c>
      <c r="J20" s="8" t="s">
        <v>148</v>
      </c>
      <c r="K20" s="27">
        <v>43288.14</v>
      </c>
      <c r="L20" s="8" t="s">
        <v>12</v>
      </c>
      <c r="M20" s="10">
        <v>46163</v>
      </c>
      <c r="N20" s="8" t="s">
        <v>73</v>
      </c>
      <c r="O20" s="10">
        <v>46166</v>
      </c>
      <c r="P20" s="8" t="s">
        <v>149</v>
      </c>
      <c r="Q20" s="10"/>
      <c r="R20" s="11">
        <v>12140.93</v>
      </c>
      <c r="S20" s="12"/>
      <c r="T20" s="11"/>
      <c r="U20" s="12"/>
      <c r="V20" s="12">
        <v>0</v>
      </c>
      <c r="W20" s="12">
        <v>0</v>
      </c>
      <c r="X20" s="8" t="s">
        <v>25</v>
      </c>
      <c r="Y20" s="11">
        <v>10700.39</v>
      </c>
    </row>
    <row r="21" spans="1:25" x14ac:dyDescent="0.2">
      <c r="A21" s="8" t="s">
        <v>51</v>
      </c>
      <c r="B21" s="8" t="s">
        <v>68</v>
      </c>
      <c r="C21" s="26" t="s">
        <v>79</v>
      </c>
      <c r="D21" s="10">
        <v>46159</v>
      </c>
      <c r="E21" s="10">
        <v>46179</v>
      </c>
      <c r="F21" s="9">
        <f>E21-D21</f>
        <v>20</v>
      </c>
      <c r="G21" s="9" t="s">
        <v>199</v>
      </c>
      <c r="H21" s="8" t="s">
        <v>149</v>
      </c>
      <c r="I21" s="9" t="s">
        <v>16</v>
      </c>
      <c r="J21" s="8" t="s">
        <v>24</v>
      </c>
      <c r="K21" s="27">
        <v>26686.52</v>
      </c>
      <c r="L21" s="8" t="s">
        <v>60</v>
      </c>
      <c r="M21" s="10">
        <v>46159</v>
      </c>
      <c r="N21" s="8" t="s">
        <v>63</v>
      </c>
      <c r="O21" s="10">
        <v>46162</v>
      </c>
      <c r="P21" s="8" t="s">
        <v>149</v>
      </c>
      <c r="Q21" s="10"/>
      <c r="R21" s="11">
        <f>12840.69-7268.32</f>
        <v>5572.3700000000008</v>
      </c>
      <c r="S21" s="12" t="s">
        <v>19</v>
      </c>
      <c r="T21" s="11">
        <f>4425.35-2677.73</f>
        <v>1747.6200000000003</v>
      </c>
      <c r="U21" s="12" t="s">
        <v>19</v>
      </c>
      <c r="V21" s="12"/>
      <c r="W21" s="12"/>
      <c r="X21" s="8" t="s">
        <v>25</v>
      </c>
      <c r="Y21" s="11">
        <v>10702.09</v>
      </c>
    </row>
    <row r="22" spans="1:25" x14ac:dyDescent="0.2">
      <c r="A22" s="8" t="s">
        <v>51</v>
      </c>
      <c r="B22" s="8" t="s">
        <v>67</v>
      </c>
      <c r="C22" s="26" t="s">
        <v>77</v>
      </c>
      <c r="D22" s="10">
        <v>46162</v>
      </c>
      <c r="E22" s="10">
        <v>46176</v>
      </c>
      <c r="F22" s="9">
        <f>E22-D22</f>
        <v>14</v>
      </c>
      <c r="G22" s="9" t="s">
        <v>199</v>
      </c>
      <c r="H22" s="8" t="s">
        <v>149</v>
      </c>
      <c r="I22" s="9" t="s">
        <v>16</v>
      </c>
      <c r="J22" s="8" t="s">
        <v>24</v>
      </c>
      <c r="K22" s="27">
        <v>25020.880000000001</v>
      </c>
      <c r="L22" s="8" t="s">
        <v>61</v>
      </c>
      <c r="M22" s="10">
        <v>46162</v>
      </c>
      <c r="N22" s="8" t="s">
        <v>63</v>
      </c>
      <c r="O22" s="10">
        <v>46165</v>
      </c>
      <c r="P22" s="8" t="s">
        <v>149</v>
      </c>
      <c r="Q22" s="10"/>
      <c r="R22" s="11">
        <v>5572.37</v>
      </c>
      <c r="S22" s="12">
        <f>9166.14-7268.32</f>
        <v>1897.8199999999997</v>
      </c>
      <c r="T22" s="11">
        <v>1290.55</v>
      </c>
      <c r="U22" s="12">
        <f>1927.23-1497.04</f>
        <v>430.19000000000005</v>
      </c>
      <c r="V22" s="12"/>
      <c r="W22" s="12"/>
      <c r="X22" s="8" t="s">
        <v>25</v>
      </c>
      <c r="Y22" s="11">
        <v>10700.96</v>
      </c>
    </row>
    <row r="23" spans="1:25" x14ac:dyDescent="0.2">
      <c r="A23" s="8" t="s">
        <v>51</v>
      </c>
      <c r="B23" s="8" t="s">
        <v>251</v>
      </c>
      <c r="C23" s="26" t="s">
        <v>283</v>
      </c>
      <c r="D23" s="10">
        <v>46159</v>
      </c>
      <c r="E23" s="10">
        <v>46174</v>
      </c>
      <c r="F23" s="9">
        <f>E23-D23</f>
        <v>15</v>
      </c>
      <c r="G23" s="9" t="s">
        <v>199</v>
      </c>
      <c r="H23" s="8" t="s">
        <v>149</v>
      </c>
      <c r="I23" s="9" t="s">
        <v>16</v>
      </c>
      <c r="J23" s="8" t="s">
        <v>24</v>
      </c>
      <c r="K23" s="27">
        <v>25878.23</v>
      </c>
      <c r="L23" s="8" t="s">
        <v>60</v>
      </c>
      <c r="M23" s="10">
        <v>46159</v>
      </c>
      <c r="N23" s="8" t="s">
        <v>63</v>
      </c>
      <c r="O23" s="10">
        <v>46162</v>
      </c>
      <c r="P23" s="8" t="s">
        <v>149</v>
      </c>
      <c r="Q23" s="10"/>
      <c r="R23" s="11">
        <f>12840.69-7268.32</f>
        <v>5572.3700000000008</v>
      </c>
      <c r="S23" s="12">
        <f>9166.14-7268.32</f>
        <v>1897.8199999999997</v>
      </c>
      <c r="T23" s="11">
        <f>4425.35-2677.73</f>
        <v>1747.6200000000003</v>
      </c>
      <c r="U23" s="12">
        <f>3260.01-2677.73</f>
        <v>582.2800000000002</v>
      </c>
      <c r="V23" s="12"/>
      <c r="W23" s="12"/>
      <c r="X23" s="8"/>
      <c r="Y23" s="11">
        <v>10000</v>
      </c>
    </row>
    <row r="24" spans="1:25" x14ac:dyDescent="0.2">
      <c r="A24" s="8" t="s">
        <v>51</v>
      </c>
      <c r="B24" s="8" t="s">
        <v>250</v>
      </c>
      <c r="C24" s="25" t="s">
        <v>282</v>
      </c>
      <c r="D24" s="10">
        <v>46158</v>
      </c>
      <c r="E24" s="10">
        <v>46173</v>
      </c>
      <c r="F24" s="9">
        <f>E24-D24</f>
        <v>15</v>
      </c>
      <c r="G24" s="9" t="s">
        <v>199</v>
      </c>
      <c r="H24" s="8" t="s">
        <v>149</v>
      </c>
      <c r="I24" s="9" t="s">
        <v>16</v>
      </c>
      <c r="J24" s="8" t="s">
        <v>24</v>
      </c>
      <c r="K24" s="27">
        <v>26356.98</v>
      </c>
      <c r="L24" s="8" t="s">
        <v>60</v>
      </c>
      <c r="M24" s="10">
        <v>46158</v>
      </c>
      <c r="N24" s="8" t="s">
        <v>63</v>
      </c>
      <c r="O24" s="10">
        <v>46162</v>
      </c>
      <c r="P24" s="8" t="s">
        <v>149</v>
      </c>
      <c r="Q24" s="10"/>
      <c r="R24" s="11">
        <v>5572.37</v>
      </c>
      <c r="S24" s="12">
        <f>9166.14-7268.32</f>
        <v>1897.8199999999997</v>
      </c>
      <c r="T24" s="11">
        <v>2155.36</v>
      </c>
      <c r="U24" s="12">
        <f>4036.11-3318.15</f>
        <v>717.96</v>
      </c>
      <c r="V24" s="12"/>
      <c r="W24" s="12"/>
      <c r="X24" s="8"/>
      <c r="Y24" s="11">
        <v>10000</v>
      </c>
    </row>
    <row r="25" spans="1:25" x14ac:dyDescent="0.2">
      <c r="A25" s="8" t="s">
        <v>330</v>
      </c>
      <c r="B25" s="8" t="s">
        <v>332</v>
      </c>
      <c r="C25" s="24" t="s">
        <v>335</v>
      </c>
      <c r="D25" s="10">
        <v>46160</v>
      </c>
      <c r="E25" s="10">
        <v>46173</v>
      </c>
      <c r="F25" s="9">
        <f>E25-D25</f>
        <v>13</v>
      </c>
      <c r="G25" s="9" t="s">
        <v>199</v>
      </c>
      <c r="H25" s="8" t="s">
        <v>23</v>
      </c>
      <c r="I25" s="9" t="s">
        <v>3</v>
      </c>
      <c r="J25" s="8" t="s">
        <v>148</v>
      </c>
      <c r="K25" s="27">
        <v>45849.279999999999</v>
      </c>
      <c r="L25" s="8" t="s">
        <v>338</v>
      </c>
      <c r="M25" s="10">
        <v>46160</v>
      </c>
      <c r="N25" s="8" t="s">
        <v>339</v>
      </c>
      <c r="O25" s="10">
        <v>46163</v>
      </c>
      <c r="P25" s="8" t="s">
        <v>23</v>
      </c>
      <c r="Q25" s="10"/>
      <c r="R25" s="11">
        <f>43416.85-28417.79</f>
        <v>14999.059999999998</v>
      </c>
      <c r="S25" s="12">
        <f>31681.52-28417.79</f>
        <v>3263.7299999999996</v>
      </c>
      <c r="T25" s="11">
        <f>6034.85-3439.25</f>
        <v>2595.6000000000004</v>
      </c>
      <c r="U25" s="12">
        <f>4304.44-3439.25</f>
        <v>865.1899999999996</v>
      </c>
      <c r="V25" s="12"/>
      <c r="W25" s="12"/>
      <c r="X25" s="8" t="s">
        <v>341</v>
      </c>
      <c r="Y25" s="11">
        <v>10000</v>
      </c>
    </row>
    <row r="26" spans="1:25" x14ac:dyDescent="0.2">
      <c r="A26" s="8" t="s">
        <v>330</v>
      </c>
      <c r="B26" s="8" t="s">
        <v>333</v>
      </c>
      <c r="C26" s="24" t="s">
        <v>336</v>
      </c>
      <c r="D26" s="10">
        <v>46159</v>
      </c>
      <c r="E26" s="10">
        <v>46174</v>
      </c>
      <c r="F26" s="9">
        <f>E26-D26</f>
        <v>15</v>
      </c>
      <c r="G26" s="9" t="s">
        <v>199</v>
      </c>
      <c r="H26" s="8" t="s">
        <v>23</v>
      </c>
      <c r="I26" s="9" t="s">
        <v>31</v>
      </c>
      <c r="J26" s="8" t="s">
        <v>24</v>
      </c>
      <c r="K26" s="27">
        <v>29152.34</v>
      </c>
      <c r="L26" s="8" t="s">
        <v>340</v>
      </c>
      <c r="M26" s="10">
        <v>46159</v>
      </c>
      <c r="N26" s="8" t="s">
        <v>43</v>
      </c>
      <c r="O26" s="10">
        <v>46163</v>
      </c>
      <c r="P26" s="8" t="s">
        <v>23</v>
      </c>
      <c r="Q26" s="10"/>
      <c r="R26" s="11">
        <v>0</v>
      </c>
      <c r="S26" s="12">
        <v>0</v>
      </c>
      <c r="T26" s="11">
        <v>0</v>
      </c>
      <c r="U26" s="12">
        <v>0</v>
      </c>
      <c r="V26" s="12"/>
      <c r="W26" s="12"/>
      <c r="X26" s="8" t="s">
        <v>327</v>
      </c>
      <c r="Y26" s="11">
        <v>10318.33</v>
      </c>
    </row>
    <row r="27" spans="1:25" x14ac:dyDescent="0.2">
      <c r="A27" s="8" t="s">
        <v>330</v>
      </c>
      <c r="B27" s="8" t="s">
        <v>331</v>
      </c>
      <c r="C27" s="24" t="s">
        <v>334</v>
      </c>
      <c r="D27" s="10">
        <v>46160</v>
      </c>
      <c r="E27" s="10">
        <v>46178</v>
      </c>
      <c r="F27" s="9">
        <f>E27-D27</f>
        <v>18</v>
      </c>
      <c r="G27" s="9" t="s">
        <v>199</v>
      </c>
      <c r="H27" s="8" t="s">
        <v>23</v>
      </c>
      <c r="I27" s="9" t="s">
        <v>32</v>
      </c>
      <c r="J27" s="8" t="s">
        <v>24</v>
      </c>
      <c r="K27" s="27">
        <v>23360.65</v>
      </c>
      <c r="L27" s="8" t="s">
        <v>40</v>
      </c>
      <c r="M27" s="10">
        <v>46160</v>
      </c>
      <c r="N27" s="8" t="s">
        <v>337</v>
      </c>
      <c r="O27" s="10">
        <v>46164</v>
      </c>
      <c r="P27" s="8" t="s">
        <v>23</v>
      </c>
      <c r="Q27" s="10"/>
      <c r="R27" s="11">
        <f>10141.92-5070.96</f>
        <v>5070.96</v>
      </c>
      <c r="S27" s="12">
        <f>6761.29-5070.96</f>
        <v>1690.33</v>
      </c>
      <c r="T27" s="11">
        <f>5021.75-2813.73</f>
        <v>2208.02</v>
      </c>
      <c r="U27" s="12">
        <f>3670.89-2813.73</f>
        <v>857.15999999999985</v>
      </c>
      <c r="V27" s="12"/>
      <c r="W27" s="12"/>
      <c r="X27" s="8" t="s">
        <v>25</v>
      </c>
      <c r="Y27" s="11">
        <v>10500.2</v>
      </c>
    </row>
    <row r="28" spans="1:25" x14ac:dyDescent="0.2">
      <c r="A28" s="8" t="s">
        <v>94</v>
      </c>
      <c r="B28" s="20" t="s">
        <v>14</v>
      </c>
      <c r="C28" s="25" t="s">
        <v>100</v>
      </c>
      <c r="D28" s="10">
        <v>46160</v>
      </c>
      <c r="E28" s="10">
        <v>46174</v>
      </c>
      <c r="F28" s="9">
        <f>E28-D28</f>
        <v>14</v>
      </c>
      <c r="G28" s="9" t="s">
        <v>199</v>
      </c>
      <c r="H28" s="8" t="s">
        <v>149</v>
      </c>
      <c r="I28" s="9" t="s">
        <v>16</v>
      </c>
      <c r="J28" s="8" t="s">
        <v>148</v>
      </c>
      <c r="K28" s="27">
        <v>35725.19</v>
      </c>
      <c r="L28" s="8" t="s">
        <v>26</v>
      </c>
      <c r="M28" s="10">
        <v>46160</v>
      </c>
      <c r="N28" s="8" t="s">
        <v>101</v>
      </c>
      <c r="O28" s="10">
        <v>46163</v>
      </c>
      <c r="P28" s="8" t="s">
        <v>149</v>
      </c>
      <c r="Q28" s="10"/>
      <c r="R28" s="11">
        <v>9681.6200000000008</v>
      </c>
      <c r="S28" s="12">
        <f>20255.16-17020.17</f>
        <v>3234.9900000000016</v>
      </c>
      <c r="T28" s="11">
        <v>3058.02</v>
      </c>
      <c r="U28" s="12">
        <f>5823.61-4804.27</f>
        <v>1019.3399999999992</v>
      </c>
      <c r="V28" s="12"/>
      <c r="W28" s="12"/>
      <c r="X28" s="8" t="s">
        <v>30</v>
      </c>
      <c r="Y28" s="11">
        <v>9293.9</v>
      </c>
    </row>
    <row r="29" spans="1:25" x14ac:dyDescent="0.2">
      <c r="A29" s="8" t="s">
        <v>94</v>
      </c>
      <c r="B29" s="20" t="s">
        <v>97</v>
      </c>
      <c r="C29" s="25" t="s">
        <v>99</v>
      </c>
      <c r="D29" s="10">
        <v>46154</v>
      </c>
      <c r="E29" s="10">
        <v>46175</v>
      </c>
      <c r="F29" s="9">
        <f>E29-D29</f>
        <v>21</v>
      </c>
      <c r="G29" s="9" t="s">
        <v>199</v>
      </c>
      <c r="H29" s="8" t="s">
        <v>149</v>
      </c>
      <c r="I29" s="9" t="s">
        <v>31</v>
      </c>
      <c r="J29" s="8" t="s">
        <v>24</v>
      </c>
      <c r="K29" s="27">
        <v>27979.98</v>
      </c>
      <c r="L29" s="8" t="s">
        <v>102</v>
      </c>
      <c r="M29" s="10">
        <v>46154</v>
      </c>
      <c r="N29" s="8" t="s">
        <v>103</v>
      </c>
      <c r="O29" s="10">
        <v>46158</v>
      </c>
      <c r="P29" s="8" t="s">
        <v>149</v>
      </c>
      <c r="Q29" s="10"/>
      <c r="R29" s="11">
        <v>10845.42</v>
      </c>
      <c r="S29" s="12">
        <v>0</v>
      </c>
      <c r="T29" s="11">
        <v>2390.16</v>
      </c>
      <c r="U29" s="12">
        <v>0</v>
      </c>
      <c r="V29" s="12"/>
      <c r="W29" s="12"/>
      <c r="X29" s="8" t="s">
        <v>25</v>
      </c>
      <c r="Y29" s="11">
        <v>7932.19</v>
      </c>
    </row>
    <row r="30" spans="1:25" x14ac:dyDescent="0.2">
      <c r="A30" s="8" t="s">
        <v>94</v>
      </c>
      <c r="B30" s="20" t="s">
        <v>96</v>
      </c>
      <c r="C30" s="25" t="s">
        <v>98</v>
      </c>
      <c r="D30" s="10">
        <v>46158</v>
      </c>
      <c r="E30" s="10">
        <v>46177</v>
      </c>
      <c r="F30" s="9">
        <f>E30-D30</f>
        <v>19</v>
      </c>
      <c r="G30" s="9" t="s">
        <v>199</v>
      </c>
      <c r="H30" s="8" t="s">
        <v>149</v>
      </c>
      <c r="I30" s="9" t="s">
        <v>31</v>
      </c>
      <c r="J30" s="8" t="s">
        <v>24</v>
      </c>
      <c r="K30" s="27">
        <v>26704.03</v>
      </c>
      <c r="L30" s="8" t="s">
        <v>102</v>
      </c>
      <c r="M30" s="10">
        <v>46158</v>
      </c>
      <c r="N30" s="8" t="s">
        <v>103</v>
      </c>
      <c r="O30" s="10">
        <v>46162</v>
      </c>
      <c r="P30" s="8" t="s">
        <v>149</v>
      </c>
      <c r="Q30" s="10"/>
      <c r="R30" s="11">
        <v>9569.51</v>
      </c>
      <c r="S30" s="12">
        <v>0</v>
      </c>
      <c r="T30" s="11">
        <v>2390.16</v>
      </c>
      <c r="U30" s="12">
        <v>0</v>
      </c>
      <c r="V30" s="12"/>
      <c r="W30" s="12"/>
      <c r="X30" s="8" t="s">
        <v>25</v>
      </c>
      <c r="Y30" s="11">
        <v>6454.47</v>
      </c>
    </row>
    <row r="31" spans="1:25" x14ac:dyDescent="0.2">
      <c r="A31" s="8" t="s">
        <v>94</v>
      </c>
      <c r="B31" s="21" t="s">
        <v>153</v>
      </c>
      <c r="C31" s="25" t="s">
        <v>154</v>
      </c>
      <c r="D31" s="10">
        <v>46154</v>
      </c>
      <c r="E31" s="10">
        <v>46175</v>
      </c>
      <c r="F31" s="9">
        <f>E31-D31</f>
        <v>21</v>
      </c>
      <c r="G31" s="9" t="s">
        <v>199</v>
      </c>
      <c r="H31" s="8" t="s">
        <v>149</v>
      </c>
      <c r="I31" s="9" t="s">
        <v>31</v>
      </c>
      <c r="J31" s="8" t="s">
        <v>24</v>
      </c>
      <c r="K31" s="27">
        <v>25353.19</v>
      </c>
      <c r="L31" s="8" t="s">
        <v>125</v>
      </c>
      <c r="M31" s="10">
        <v>46154</v>
      </c>
      <c r="N31" s="8" t="s">
        <v>104</v>
      </c>
      <c r="O31" s="10">
        <v>46158</v>
      </c>
      <c r="P31" s="8" t="s">
        <v>149</v>
      </c>
      <c r="Q31" s="10"/>
      <c r="R31" s="11">
        <f>7887.92-5378.93</f>
        <v>2508.9899999999998</v>
      </c>
      <c r="S31" s="12">
        <f>6786.55-5378.93</f>
        <v>1407.62</v>
      </c>
      <c r="T31" s="11">
        <v>0</v>
      </c>
      <c r="U31" s="12">
        <v>0</v>
      </c>
      <c r="V31" s="12"/>
      <c r="W31" s="12"/>
      <c r="X31" s="8" t="s">
        <v>25</v>
      </c>
      <c r="Y31" s="11">
        <v>7932.19</v>
      </c>
    </row>
    <row r="32" spans="1:25" x14ac:dyDescent="0.2">
      <c r="A32" s="8" t="s">
        <v>94</v>
      </c>
      <c r="B32" s="21" t="s">
        <v>271</v>
      </c>
      <c r="C32" s="25" t="s">
        <v>301</v>
      </c>
      <c r="D32" s="10">
        <v>46158</v>
      </c>
      <c r="E32" s="10">
        <v>46180</v>
      </c>
      <c r="F32" s="9">
        <f>E32-D32</f>
        <v>22</v>
      </c>
      <c r="G32" s="9" t="s">
        <v>199</v>
      </c>
      <c r="H32" s="8" t="s">
        <v>149</v>
      </c>
      <c r="I32" s="9" t="s">
        <v>31</v>
      </c>
      <c r="J32" s="8" t="s">
        <v>24</v>
      </c>
      <c r="K32" s="27">
        <v>25906.65</v>
      </c>
      <c r="L32" s="8" t="s">
        <v>325</v>
      </c>
      <c r="M32" s="10">
        <v>46158</v>
      </c>
      <c r="N32" s="8" t="s">
        <v>324</v>
      </c>
      <c r="O32" s="10">
        <v>46162</v>
      </c>
      <c r="P32" s="8" t="s">
        <v>149</v>
      </c>
      <c r="Q32" s="10"/>
      <c r="R32" s="11">
        <f>6672.42-5902.29</f>
        <v>770.13000000000011</v>
      </c>
      <c r="S32" s="12">
        <f>6596.26-5902.29</f>
        <v>693.97000000000025</v>
      </c>
      <c r="T32" s="11">
        <v>0</v>
      </c>
      <c r="U32" s="12">
        <v>0</v>
      </c>
      <c r="V32" s="12"/>
      <c r="W32" s="12"/>
      <c r="X32" s="8" t="s">
        <v>30</v>
      </c>
      <c r="Y32" s="11">
        <v>8126.87</v>
      </c>
    </row>
    <row r="33" spans="1:25" x14ac:dyDescent="0.2">
      <c r="A33" s="8" t="s">
        <v>94</v>
      </c>
      <c r="B33" s="20" t="s">
        <v>272</v>
      </c>
      <c r="C33" s="25" t="s">
        <v>302</v>
      </c>
      <c r="D33" s="10">
        <v>46158</v>
      </c>
      <c r="E33" s="10">
        <v>46180</v>
      </c>
      <c r="F33" s="9">
        <f>E33-D33</f>
        <v>22</v>
      </c>
      <c r="G33" s="9" t="s">
        <v>199</v>
      </c>
      <c r="H33" s="8" t="s">
        <v>149</v>
      </c>
      <c r="I33" s="9" t="s">
        <v>31</v>
      </c>
      <c r="J33" s="8" t="s">
        <v>24</v>
      </c>
      <c r="K33" s="27">
        <v>25918.77</v>
      </c>
      <c r="L33" s="8" t="s">
        <v>125</v>
      </c>
      <c r="M33" s="10">
        <v>46158</v>
      </c>
      <c r="N33" s="8" t="s">
        <v>324</v>
      </c>
      <c r="O33" s="10">
        <v>46162</v>
      </c>
      <c r="P33" s="8" t="s">
        <v>149</v>
      </c>
      <c r="Q33" s="10"/>
      <c r="R33" s="11">
        <f>6361.64-6039.73</f>
        <v>321.91000000000076</v>
      </c>
      <c r="S33" s="12">
        <f>6289.03-6039.73</f>
        <v>249.30000000000018</v>
      </c>
      <c r="T33" s="11">
        <v>0</v>
      </c>
      <c r="U33" s="12">
        <v>0</v>
      </c>
      <c r="V33" s="12"/>
      <c r="W33" s="12"/>
      <c r="X33" s="8" t="s">
        <v>30</v>
      </c>
      <c r="Y33" s="11">
        <v>8126.87</v>
      </c>
    </row>
    <row r="34" spans="1:25" x14ac:dyDescent="0.2">
      <c r="A34" s="8" t="s">
        <v>94</v>
      </c>
      <c r="B34" s="21" t="s">
        <v>95</v>
      </c>
      <c r="C34" s="25" t="s">
        <v>155</v>
      </c>
      <c r="D34" s="10">
        <v>46154</v>
      </c>
      <c r="E34" s="10">
        <v>46175</v>
      </c>
      <c r="F34" s="9">
        <f>E34-D34</f>
        <v>21</v>
      </c>
      <c r="G34" s="9" t="s">
        <v>199</v>
      </c>
      <c r="H34" s="8" t="s">
        <v>149</v>
      </c>
      <c r="I34" s="22" t="s">
        <v>31</v>
      </c>
      <c r="J34" s="8" t="s">
        <v>24</v>
      </c>
      <c r="K34" s="27">
        <v>25891.52</v>
      </c>
      <c r="L34" s="8" t="s">
        <v>125</v>
      </c>
      <c r="M34" s="10">
        <v>46154</v>
      </c>
      <c r="N34" s="8" t="s">
        <v>324</v>
      </c>
      <c r="O34" s="10">
        <v>46158</v>
      </c>
      <c r="P34" s="8" t="s">
        <v>149</v>
      </c>
      <c r="Q34" s="10"/>
      <c r="R34" s="11">
        <f>6552.51-5791.95</f>
        <v>760.5600000000004</v>
      </c>
      <c r="S34" s="12">
        <f>6474.56-5791.95</f>
        <v>682.61000000000058</v>
      </c>
      <c r="T34" s="11">
        <v>0</v>
      </c>
      <c r="U34" s="12">
        <v>0</v>
      </c>
      <c r="V34" s="12"/>
      <c r="W34" s="12"/>
      <c r="X34" s="8" t="s">
        <v>25</v>
      </c>
      <c r="Y34" s="11">
        <v>7932.19</v>
      </c>
    </row>
    <row r="35" spans="1:25" x14ac:dyDescent="0.2">
      <c r="A35" s="8" t="s">
        <v>94</v>
      </c>
      <c r="B35" s="21" t="s">
        <v>273</v>
      </c>
      <c r="C35" s="25" t="s">
        <v>303</v>
      </c>
      <c r="D35" s="10">
        <v>46154</v>
      </c>
      <c r="E35" s="10">
        <v>46177</v>
      </c>
      <c r="F35" s="9">
        <f>E35-D35</f>
        <v>23</v>
      </c>
      <c r="G35" s="9" t="s">
        <v>199</v>
      </c>
      <c r="H35" s="8" t="s">
        <v>149</v>
      </c>
      <c r="I35" s="9" t="s">
        <v>31</v>
      </c>
      <c r="J35" s="8" t="s">
        <v>24</v>
      </c>
      <c r="K35" s="27">
        <v>26748.39</v>
      </c>
      <c r="L35" s="8" t="s">
        <v>125</v>
      </c>
      <c r="M35" s="10">
        <v>46154</v>
      </c>
      <c r="N35" s="8" t="s">
        <v>324</v>
      </c>
      <c r="O35" s="10">
        <v>46158</v>
      </c>
      <c r="P35" s="8" t="s">
        <v>149</v>
      </c>
      <c r="Q35" s="10"/>
      <c r="R35" s="11">
        <v>0</v>
      </c>
      <c r="S35" s="12">
        <v>0</v>
      </c>
      <c r="T35" s="11">
        <v>0</v>
      </c>
      <c r="U35" s="12">
        <v>0</v>
      </c>
      <c r="V35" s="12"/>
      <c r="W35" s="12"/>
      <c r="X35" s="8" t="s">
        <v>25</v>
      </c>
      <c r="Y35" s="11">
        <v>7932.19</v>
      </c>
    </row>
    <row r="36" spans="1:25" x14ac:dyDescent="0.2">
      <c r="A36" s="8" t="s">
        <v>94</v>
      </c>
      <c r="B36" s="21" t="s">
        <v>274</v>
      </c>
      <c r="C36" s="25" t="s">
        <v>304</v>
      </c>
      <c r="D36" s="10">
        <v>46154</v>
      </c>
      <c r="E36" s="10">
        <v>46177</v>
      </c>
      <c r="F36" s="9">
        <f>E36-D36</f>
        <v>23</v>
      </c>
      <c r="G36" s="9" t="s">
        <v>199</v>
      </c>
      <c r="H36" s="8" t="s">
        <v>149</v>
      </c>
      <c r="I36" s="9" t="s">
        <v>31</v>
      </c>
      <c r="J36" s="8" t="s">
        <v>24</v>
      </c>
      <c r="K36" s="27">
        <v>26748.37</v>
      </c>
      <c r="L36" s="8" t="s">
        <v>125</v>
      </c>
      <c r="M36" s="10">
        <v>46154</v>
      </c>
      <c r="N36" s="8" t="s">
        <v>324</v>
      </c>
      <c r="O36" s="10">
        <v>46158</v>
      </c>
      <c r="P36" s="8" t="s">
        <v>149</v>
      </c>
      <c r="Q36" s="10"/>
      <c r="R36" s="11">
        <f>7323.39-6473.35</f>
        <v>850.04</v>
      </c>
      <c r="S36" s="12">
        <f>7236.29-6473.35</f>
        <v>762.9399999999996</v>
      </c>
      <c r="T36" s="11">
        <v>0</v>
      </c>
      <c r="U36" s="12">
        <v>0</v>
      </c>
      <c r="V36" s="12"/>
      <c r="W36" s="12"/>
      <c r="X36" s="8" t="s">
        <v>25</v>
      </c>
      <c r="Y36" s="11">
        <v>7932.19</v>
      </c>
    </row>
    <row r="37" spans="1:25" x14ac:dyDescent="0.2">
      <c r="A37" s="8" t="s">
        <v>94</v>
      </c>
      <c r="B37" s="20" t="s">
        <v>267</v>
      </c>
      <c r="C37" s="25" t="s">
        <v>297</v>
      </c>
      <c r="D37" s="10">
        <v>46158</v>
      </c>
      <c r="E37" s="10">
        <v>46177</v>
      </c>
      <c r="F37" s="9">
        <f>E37-D37</f>
        <v>19</v>
      </c>
      <c r="G37" s="9" t="s">
        <v>199</v>
      </c>
      <c r="H37" s="8" t="s">
        <v>149</v>
      </c>
      <c r="I37" s="9" t="s">
        <v>31</v>
      </c>
      <c r="J37" s="8" t="s">
        <v>24</v>
      </c>
      <c r="K37" s="27">
        <v>24914.39</v>
      </c>
      <c r="L37" s="8" t="s">
        <v>125</v>
      </c>
      <c r="M37" s="10">
        <v>46158</v>
      </c>
      <c r="N37" s="8" t="s">
        <v>324</v>
      </c>
      <c r="O37" s="10">
        <v>46162</v>
      </c>
      <c r="P37" s="8" t="s">
        <v>149</v>
      </c>
      <c r="Q37" s="10"/>
      <c r="R37" s="11">
        <f>5650.03-5110.54</f>
        <v>539.48999999999978</v>
      </c>
      <c r="S37" s="12">
        <f>5582.85-5110.54</f>
        <v>472.3100000000004</v>
      </c>
      <c r="T37" s="11">
        <v>0</v>
      </c>
      <c r="U37" s="12">
        <v>0</v>
      </c>
      <c r="V37" s="12"/>
      <c r="W37" s="12"/>
      <c r="X37" s="8" t="s">
        <v>25</v>
      </c>
      <c r="Y37" s="11">
        <v>6454.47</v>
      </c>
    </row>
    <row r="38" spans="1:25" x14ac:dyDescent="0.2">
      <c r="A38" s="8" t="s">
        <v>94</v>
      </c>
      <c r="B38" s="21" t="s">
        <v>151</v>
      </c>
      <c r="C38" s="25" t="s">
        <v>152</v>
      </c>
      <c r="D38" s="10">
        <v>46158</v>
      </c>
      <c r="E38" s="10">
        <v>46177</v>
      </c>
      <c r="F38" s="9">
        <f>E38-D38</f>
        <v>19</v>
      </c>
      <c r="G38" s="9" t="s">
        <v>199</v>
      </c>
      <c r="H38" s="8" t="s">
        <v>149</v>
      </c>
      <c r="I38" s="9" t="s">
        <v>31</v>
      </c>
      <c r="J38" s="8" t="s">
        <v>24</v>
      </c>
      <c r="K38" s="27">
        <v>24823.74</v>
      </c>
      <c r="L38" s="8" t="s">
        <v>125</v>
      </c>
      <c r="M38" s="10">
        <v>46158</v>
      </c>
      <c r="N38" s="8" t="s">
        <v>104</v>
      </c>
      <c r="O38" s="10">
        <v>46162</v>
      </c>
      <c r="P38" s="8" t="s">
        <v>149</v>
      </c>
      <c r="Q38" s="10"/>
      <c r="R38" s="11">
        <f>7631.39-5270.52</f>
        <v>2360.87</v>
      </c>
      <c r="S38" s="12">
        <f>6653.5-5270.52</f>
        <v>1382.9799999999996</v>
      </c>
      <c r="T38" s="11">
        <v>0</v>
      </c>
      <c r="U38" s="12">
        <v>0</v>
      </c>
      <c r="V38" s="12"/>
      <c r="W38" s="12"/>
      <c r="X38" s="8" t="s">
        <v>25</v>
      </c>
      <c r="Y38" s="11">
        <v>6454.47</v>
      </c>
    </row>
    <row r="39" spans="1:25" x14ac:dyDescent="0.2">
      <c r="A39" s="8" t="s">
        <v>94</v>
      </c>
      <c r="B39" s="21" t="s">
        <v>270</v>
      </c>
      <c r="C39" s="25" t="s">
        <v>300</v>
      </c>
      <c r="D39" s="10">
        <v>46154</v>
      </c>
      <c r="E39" s="10">
        <v>46175</v>
      </c>
      <c r="F39" s="9">
        <f>E39-D39</f>
        <v>21</v>
      </c>
      <c r="G39" s="9" t="s">
        <v>199</v>
      </c>
      <c r="H39" s="8" t="s">
        <v>149</v>
      </c>
      <c r="I39" s="9" t="s">
        <v>31</v>
      </c>
      <c r="J39" s="8" t="s">
        <v>24</v>
      </c>
      <c r="K39" s="27">
        <v>25891.52</v>
      </c>
      <c r="L39" s="8" t="s">
        <v>325</v>
      </c>
      <c r="M39" s="10">
        <v>46154</v>
      </c>
      <c r="N39" s="8" t="s">
        <v>324</v>
      </c>
      <c r="O39" s="10">
        <v>46158</v>
      </c>
      <c r="P39" s="8" t="s">
        <v>149</v>
      </c>
      <c r="Q39" s="10"/>
      <c r="R39" s="11">
        <v>0</v>
      </c>
      <c r="S39" s="12">
        <v>0</v>
      </c>
      <c r="T39" s="11">
        <v>0</v>
      </c>
      <c r="U39" s="12">
        <v>0</v>
      </c>
      <c r="V39" s="12"/>
      <c r="W39" s="12"/>
      <c r="X39" s="8" t="s">
        <v>25</v>
      </c>
      <c r="Y39" s="11">
        <v>7932.19</v>
      </c>
    </row>
    <row r="40" spans="1:25" x14ac:dyDescent="0.2">
      <c r="A40" s="8" t="s">
        <v>94</v>
      </c>
      <c r="B40" s="20" t="s">
        <v>275</v>
      </c>
      <c r="C40" s="25" t="s">
        <v>305</v>
      </c>
      <c r="D40" s="10">
        <v>46154</v>
      </c>
      <c r="E40" s="10">
        <v>46180</v>
      </c>
      <c r="F40" s="9">
        <f>E40-D40</f>
        <v>26</v>
      </c>
      <c r="G40" s="9" t="s">
        <v>199</v>
      </c>
      <c r="H40" s="8" t="s">
        <v>149</v>
      </c>
      <c r="I40" s="9" t="s">
        <v>31</v>
      </c>
      <c r="J40" s="8" t="s">
        <v>24</v>
      </c>
      <c r="K40" s="27">
        <v>27878.080000000002</v>
      </c>
      <c r="L40" s="8" t="s">
        <v>125</v>
      </c>
      <c r="M40" s="10">
        <v>46154</v>
      </c>
      <c r="N40" s="8" t="s">
        <v>324</v>
      </c>
      <c r="O40" s="10">
        <v>46158</v>
      </c>
      <c r="P40" s="8" t="s">
        <v>149</v>
      </c>
      <c r="Q40" s="10"/>
      <c r="R40" s="11">
        <f>7798.13-7402.54</f>
        <v>395.59000000000015</v>
      </c>
      <c r="S40" s="12">
        <v>0</v>
      </c>
      <c r="T40" s="11">
        <v>0</v>
      </c>
      <c r="U40" s="12">
        <v>0</v>
      </c>
      <c r="V40" s="12"/>
      <c r="W40" s="12"/>
      <c r="X40" s="8" t="s">
        <v>328</v>
      </c>
      <c r="Y40" s="11">
        <v>6451.37</v>
      </c>
    </row>
    <row r="41" spans="1:25" x14ac:dyDescent="0.2">
      <c r="A41" s="8" t="s">
        <v>119</v>
      </c>
      <c r="B41" s="8" t="s">
        <v>200</v>
      </c>
      <c r="C41" s="24" t="s">
        <v>201</v>
      </c>
      <c r="D41" s="10">
        <v>46162</v>
      </c>
      <c r="E41" s="10">
        <v>46176</v>
      </c>
      <c r="F41" s="9">
        <f>E41-D41</f>
        <v>14</v>
      </c>
      <c r="G41" s="9" t="s">
        <v>199</v>
      </c>
      <c r="H41" s="8" t="s">
        <v>23</v>
      </c>
      <c r="I41" s="9" t="s">
        <v>32</v>
      </c>
      <c r="J41" s="8" t="s">
        <v>24</v>
      </c>
      <c r="K41" s="27">
        <v>25999.99</v>
      </c>
      <c r="L41" s="8" t="s">
        <v>202</v>
      </c>
      <c r="M41" s="10">
        <v>46162</v>
      </c>
      <c r="N41" s="8" t="s">
        <v>162</v>
      </c>
      <c r="O41" s="10">
        <v>46165</v>
      </c>
      <c r="P41" s="8" t="s">
        <v>23</v>
      </c>
      <c r="Q41" s="10"/>
      <c r="R41" s="11">
        <v>0</v>
      </c>
      <c r="S41" s="12">
        <f>9554.64-9550.18</f>
        <v>4.4599999999991269</v>
      </c>
      <c r="T41" s="11">
        <v>0</v>
      </c>
      <c r="U41" s="12">
        <v>0</v>
      </c>
      <c r="V41" s="12"/>
      <c r="W41" s="12"/>
      <c r="X41" s="8" t="s">
        <v>25</v>
      </c>
      <c r="Y41" s="11">
        <v>7621.33</v>
      </c>
    </row>
    <row r="42" spans="1:25" x14ac:dyDescent="0.2">
      <c r="A42" s="8" t="s">
        <v>119</v>
      </c>
      <c r="B42" s="8" t="s">
        <v>180</v>
      </c>
      <c r="C42" s="24" t="s">
        <v>181</v>
      </c>
      <c r="D42" s="10">
        <v>46157</v>
      </c>
      <c r="E42" s="10">
        <v>46176</v>
      </c>
      <c r="F42" s="9">
        <f>E42-D42</f>
        <v>19</v>
      </c>
      <c r="G42" s="9" t="s">
        <v>27</v>
      </c>
      <c r="H42" s="8" t="s">
        <v>149</v>
      </c>
      <c r="I42" s="9" t="s">
        <v>32</v>
      </c>
      <c r="J42" s="8" t="s">
        <v>24</v>
      </c>
      <c r="K42" s="27">
        <v>24999.599999999999</v>
      </c>
      <c r="L42" s="8" t="s">
        <v>169</v>
      </c>
      <c r="M42" s="10">
        <v>46173</v>
      </c>
      <c r="N42" s="8" t="s">
        <v>178</v>
      </c>
      <c r="O42" s="10">
        <v>46157</v>
      </c>
      <c r="P42" s="8" t="s">
        <v>149</v>
      </c>
      <c r="Q42" s="10"/>
      <c r="R42" s="11">
        <f>8982.18-6117.16</f>
        <v>2865.0200000000004</v>
      </c>
      <c r="S42" s="12">
        <f>7578.07-6117.16</f>
        <v>1460.9099999999999</v>
      </c>
      <c r="T42" s="11">
        <v>0</v>
      </c>
      <c r="U42" s="12">
        <v>0</v>
      </c>
      <c r="V42" s="12"/>
      <c r="W42" s="12"/>
      <c r="X42" s="8" t="s">
        <v>25</v>
      </c>
      <c r="Y42" s="11">
        <v>8088.17</v>
      </c>
    </row>
    <row r="43" spans="1:25" x14ac:dyDescent="0.2">
      <c r="A43" s="8" t="s">
        <v>119</v>
      </c>
      <c r="B43" s="8" t="s">
        <v>179</v>
      </c>
      <c r="C43" s="24" t="s">
        <v>177</v>
      </c>
      <c r="D43" s="10">
        <v>46162</v>
      </c>
      <c r="E43" s="10">
        <v>46181</v>
      </c>
      <c r="F43" s="9">
        <f>E43-D43</f>
        <v>19</v>
      </c>
      <c r="G43" s="9" t="s">
        <v>199</v>
      </c>
      <c r="H43" s="8" t="s">
        <v>149</v>
      </c>
      <c r="I43" s="9" t="s">
        <v>32</v>
      </c>
      <c r="J43" s="8" t="s">
        <v>24</v>
      </c>
      <c r="K43" s="27">
        <v>24499.99</v>
      </c>
      <c r="L43" s="8" t="s">
        <v>173</v>
      </c>
      <c r="M43" s="10">
        <v>46162</v>
      </c>
      <c r="N43" s="8" t="s">
        <v>178</v>
      </c>
      <c r="O43" s="10">
        <v>46165</v>
      </c>
      <c r="P43" s="8" t="s">
        <v>149</v>
      </c>
      <c r="Q43" s="10"/>
      <c r="R43" s="11">
        <v>0</v>
      </c>
      <c r="S43" s="12">
        <v>0</v>
      </c>
      <c r="T43" s="11">
        <v>0</v>
      </c>
      <c r="U43" s="12">
        <v>0</v>
      </c>
      <c r="V43" s="12"/>
      <c r="W43" s="12"/>
      <c r="X43" s="8" t="s">
        <v>25</v>
      </c>
      <c r="Y43" s="11">
        <v>6188.27</v>
      </c>
    </row>
    <row r="44" spans="1:25" x14ac:dyDescent="0.2">
      <c r="A44" s="8" t="s">
        <v>119</v>
      </c>
      <c r="B44" s="8" t="s">
        <v>167</v>
      </c>
      <c r="C44" s="24" t="s">
        <v>168</v>
      </c>
      <c r="D44" s="10">
        <v>46159</v>
      </c>
      <c r="E44" s="10">
        <v>46179</v>
      </c>
      <c r="F44" s="9">
        <f>E44-D44</f>
        <v>20</v>
      </c>
      <c r="G44" s="9" t="s">
        <v>199</v>
      </c>
      <c r="H44" s="8" t="s">
        <v>149</v>
      </c>
      <c r="I44" s="9" t="s">
        <v>32</v>
      </c>
      <c r="J44" s="8" t="s">
        <v>24</v>
      </c>
      <c r="K44" s="27">
        <v>23999.99</v>
      </c>
      <c r="L44" s="8" t="s">
        <v>169</v>
      </c>
      <c r="M44" s="10">
        <v>46159</v>
      </c>
      <c r="N44" s="8" t="s">
        <v>170</v>
      </c>
      <c r="O44" s="10">
        <v>46162</v>
      </c>
      <c r="P44" s="8" t="s">
        <v>149</v>
      </c>
      <c r="Q44" s="10"/>
      <c r="R44" s="11">
        <v>0</v>
      </c>
      <c r="S44" s="12">
        <v>0</v>
      </c>
      <c r="T44" s="11">
        <v>0</v>
      </c>
      <c r="U44" s="12">
        <f>2811.99-2319.89</f>
        <v>492.09999999999991</v>
      </c>
      <c r="V44" s="12"/>
      <c r="W44" s="12"/>
      <c r="X44" s="8" t="s">
        <v>342</v>
      </c>
      <c r="Y44" s="11">
        <v>7056.8</v>
      </c>
    </row>
    <row r="45" spans="1:25" x14ac:dyDescent="0.2">
      <c r="A45" s="8" t="s">
        <v>119</v>
      </c>
      <c r="B45" s="8" t="s">
        <v>120</v>
      </c>
      <c r="C45" s="24" t="s">
        <v>118</v>
      </c>
      <c r="D45" s="10">
        <v>46156</v>
      </c>
      <c r="E45" s="10">
        <v>46174</v>
      </c>
      <c r="F45" s="9">
        <f>E45-D45</f>
        <v>18</v>
      </c>
      <c r="G45" s="9" t="s">
        <v>199</v>
      </c>
      <c r="H45" s="8" t="s">
        <v>329</v>
      </c>
      <c r="I45" s="9" t="s">
        <v>3</v>
      </c>
      <c r="J45" s="8" t="s">
        <v>24</v>
      </c>
      <c r="K45" s="27">
        <v>33499.99</v>
      </c>
      <c r="L45" s="8" t="s">
        <v>121</v>
      </c>
      <c r="M45" s="10">
        <v>46156</v>
      </c>
      <c r="N45" s="8" t="s">
        <v>18</v>
      </c>
      <c r="O45" s="10">
        <v>46160</v>
      </c>
      <c r="P45" s="8" t="s">
        <v>122</v>
      </c>
      <c r="Q45" s="10">
        <v>46163</v>
      </c>
      <c r="R45" s="11">
        <v>328.65</v>
      </c>
      <c r="S45" s="12">
        <f>1921.53-1850.64</f>
        <v>70.889999999999873</v>
      </c>
      <c r="T45" s="11">
        <v>202.84</v>
      </c>
      <c r="U45" s="12">
        <f>4405.42-4366.63</f>
        <v>38.789999999999964</v>
      </c>
      <c r="V45" s="12">
        <v>0</v>
      </c>
      <c r="W45" s="12">
        <v>0</v>
      </c>
      <c r="X45" s="8" t="s">
        <v>30</v>
      </c>
      <c r="Y45" s="11">
        <v>10639.47</v>
      </c>
    </row>
    <row r="46" spans="1:25" x14ac:dyDescent="0.2">
      <c r="A46" s="8" t="s">
        <v>119</v>
      </c>
      <c r="B46" s="8" t="s">
        <v>124</v>
      </c>
      <c r="C46" s="24" t="s">
        <v>123</v>
      </c>
      <c r="D46" s="10">
        <v>46157</v>
      </c>
      <c r="E46" s="10">
        <v>46175</v>
      </c>
      <c r="F46" s="9">
        <f>E46-D46</f>
        <v>18</v>
      </c>
      <c r="G46" s="9" t="s">
        <v>199</v>
      </c>
      <c r="H46" s="8" t="s">
        <v>329</v>
      </c>
      <c r="I46" s="9" t="s">
        <v>3</v>
      </c>
      <c r="J46" s="8" t="s">
        <v>24</v>
      </c>
      <c r="K46" s="27">
        <v>32400</v>
      </c>
      <c r="L46" s="8" t="s">
        <v>121</v>
      </c>
      <c r="M46" s="10">
        <v>46157</v>
      </c>
      <c r="N46" s="8" t="s">
        <v>18</v>
      </c>
      <c r="O46" s="10">
        <v>46160</v>
      </c>
      <c r="P46" s="8" t="s">
        <v>122</v>
      </c>
      <c r="Q46" s="10">
        <v>46163</v>
      </c>
      <c r="R46" s="11">
        <v>328.65</v>
      </c>
      <c r="S46" s="12">
        <f>1921.53-1850.64</f>
        <v>70.889999999999873</v>
      </c>
      <c r="T46" s="11">
        <v>168.72</v>
      </c>
      <c r="U46" s="12">
        <f>3291.07-3275.96</f>
        <v>15.110000000000127</v>
      </c>
      <c r="V46" s="12">
        <v>0</v>
      </c>
      <c r="W46" s="12">
        <v>0</v>
      </c>
      <c r="X46" s="8" t="s">
        <v>25</v>
      </c>
      <c r="Y46" s="11">
        <v>10737.18</v>
      </c>
    </row>
    <row r="47" spans="1:25" x14ac:dyDescent="0.2">
      <c r="A47" s="8" t="s">
        <v>119</v>
      </c>
      <c r="B47" s="8" t="s">
        <v>269</v>
      </c>
      <c r="C47" s="24" t="s">
        <v>299</v>
      </c>
      <c r="D47" s="10">
        <v>46157</v>
      </c>
      <c r="E47" s="10">
        <v>46176</v>
      </c>
      <c r="F47" s="9">
        <f>E47-D47</f>
        <v>19</v>
      </c>
      <c r="G47" s="9" t="s">
        <v>199</v>
      </c>
      <c r="H47" s="8" t="s">
        <v>329</v>
      </c>
      <c r="I47" s="9" t="s">
        <v>3</v>
      </c>
      <c r="J47" s="8" t="s">
        <v>24</v>
      </c>
      <c r="K47" s="27">
        <v>32400</v>
      </c>
      <c r="L47" s="8" t="s">
        <v>121</v>
      </c>
      <c r="M47" s="10">
        <v>46157</v>
      </c>
      <c r="N47" s="8" t="s">
        <v>18</v>
      </c>
      <c r="O47" s="10">
        <v>46160</v>
      </c>
      <c r="P47" s="8" t="s">
        <v>122</v>
      </c>
      <c r="Q47" s="10">
        <v>46163</v>
      </c>
      <c r="R47" s="11">
        <v>0</v>
      </c>
      <c r="S47" s="12">
        <v>0</v>
      </c>
      <c r="T47" s="11">
        <v>0</v>
      </c>
      <c r="U47" s="12">
        <v>0</v>
      </c>
      <c r="V47" s="12"/>
      <c r="W47" s="12"/>
      <c r="X47" s="8" t="s">
        <v>110</v>
      </c>
      <c r="Y47" s="11">
        <v>7599.62</v>
      </c>
    </row>
    <row r="48" spans="1:25" x14ac:dyDescent="0.2">
      <c r="A48" s="8" t="s">
        <v>119</v>
      </c>
      <c r="B48" s="8" t="s">
        <v>171</v>
      </c>
      <c r="C48" s="24" t="s">
        <v>172</v>
      </c>
      <c r="D48" s="10">
        <v>46160</v>
      </c>
      <c r="E48" s="10">
        <v>46179</v>
      </c>
      <c r="F48" s="9">
        <f>E48-D48</f>
        <v>19</v>
      </c>
      <c r="G48" s="9" t="s">
        <v>27</v>
      </c>
      <c r="H48" s="8" t="s">
        <v>149</v>
      </c>
      <c r="I48" s="9" t="s">
        <v>32</v>
      </c>
      <c r="J48" s="8" t="s">
        <v>24</v>
      </c>
      <c r="K48" s="27">
        <v>24199.99</v>
      </c>
      <c r="L48" s="8" t="s">
        <v>173</v>
      </c>
      <c r="M48" s="10">
        <v>46176</v>
      </c>
      <c r="N48" s="8" t="s">
        <v>174</v>
      </c>
      <c r="O48" s="10">
        <v>46160</v>
      </c>
      <c r="P48" s="8" t="s">
        <v>149</v>
      </c>
      <c r="Q48" s="10"/>
      <c r="R48" s="11">
        <v>0</v>
      </c>
      <c r="S48" s="12">
        <f>7708.84-6542.88</f>
        <v>1165.96</v>
      </c>
      <c r="T48" s="11">
        <v>0</v>
      </c>
      <c r="U48" s="12">
        <v>0</v>
      </c>
      <c r="V48" s="12"/>
      <c r="W48" s="12"/>
      <c r="X48" s="8" t="s">
        <v>25</v>
      </c>
      <c r="Y48" s="11">
        <v>7219.65</v>
      </c>
    </row>
    <row r="49" spans="1:25" x14ac:dyDescent="0.2">
      <c r="A49" s="8" t="s">
        <v>119</v>
      </c>
      <c r="B49" s="8" t="s">
        <v>175</v>
      </c>
      <c r="C49" s="24" t="s">
        <v>176</v>
      </c>
      <c r="D49" s="10">
        <v>46159</v>
      </c>
      <c r="E49" s="10">
        <v>46177</v>
      </c>
      <c r="F49" s="9">
        <f>E49-D49</f>
        <v>18</v>
      </c>
      <c r="G49" s="9" t="s">
        <v>199</v>
      </c>
      <c r="H49" s="8" t="s">
        <v>149</v>
      </c>
      <c r="I49" s="9" t="s">
        <v>32</v>
      </c>
      <c r="J49" s="8" t="s">
        <v>24</v>
      </c>
      <c r="K49" s="27">
        <v>24199.99</v>
      </c>
      <c r="L49" s="8" t="s">
        <v>169</v>
      </c>
      <c r="M49" s="10">
        <v>46159</v>
      </c>
      <c r="N49" s="8" t="s">
        <v>174</v>
      </c>
      <c r="O49" s="10">
        <v>46162</v>
      </c>
      <c r="P49" s="8" t="s">
        <v>149</v>
      </c>
      <c r="Q49" s="10"/>
      <c r="R49" s="11">
        <v>0</v>
      </c>
      <c r="S49" s="12">
        <f>7708.84-6542.88</f>
        <v>1165.96</v>
      </c>
      <c r="T49" s="11">
        <v>0</v>
      </c>
      <c r="U49" s="12">
        <f>2811.99-2319.89</f>
        <v>492.09999999999991</v>
      </c>
      <c r="V49" s="12"/>
      <c r="W49" s="12"/>
      <c r="X49" s="8" t="s">
        <v>25</v>
      </c>
      <c r="Y49" s="11">
        <v>7599.62</v>
      </c>
    </row>
    <row r="50" spans="1:25" x14ac:dyDescent="0.2">
      <c r="A50" s="8" t="s">
        <v>119</v>
      </c>
      <c r="B50" s="8" t="s">
        <v>203</v>
      </c>
      <c r="C50" s="24" t="s">
        <v>204</v>
      </c>
      <c r="D50" s="10">
        <v>46157</v>
      </c>
      <c r="E50" s="10">
        <v>46178</v>
      </c>
      <c r="F50" s="9">
        <f>E50-D50</f>
        <v>21</v>
      </c>
      <c r="G50" s="9" t="s">
        <v>199</v>
      </c>
      <c r="H50" s="8" t="s">
        <v>23</v>
      </c>
      <c r="I50" s="9" t="s">
        <v>32</v>
      </c>
      <c r="J50" s="8" t="s">
        <v>24</v>
      </c>
      <c r="K50" s="27">
        <v>26666.66</v>
      </c>
      <c r="L50" s="8" t="s">
        <v>173</v>
      </c>
      <c r="M50" s="10">
        <v>46157</v>
      </c>
      <c r="N50" s="8" t="s">
        <v>122</v>
      </c>
      <c r="O50" s="10">
        <v>46160</v>
      </c>
      <c r="P50" s="8" t="s">
        <v>23</v>
      </c>
      <c r="Q50" s="10"/>
      <c r="R50" s="11">
        <v>0</v>
      </c>
      <c r="S50" s="12">
        <v>0</v>
      </c>
      <c r="T50" s="11">
        <v>0</v>
      </c>
      <c r="U50" s="12">
        <v>0</v>
      </c>
      <c r="V50" s="12"/>
      <c r="W50" s="12"/>
      <c r="X50" s="8" t="s">
        <v>25</v>
      </c>
      <c r="Y50" s="11">
        <v>7599.62</v>
      </c>
    </row>
    <row r="51" spans="1:25" x14ac:dyDescent="0.2">
      <c r="A51" s="8" t="s">
        <v>119</v>
      </c>
      <c r="B51" s="8" t="s">
        <v>207</v>
      </c>
      <c r="C51" s="24" t="s">
        <v>205</v>
      </c>
      <c r="D51" s="10">
        <v>46149</v>
      </c>
      <c r="E51" s="10">
        <v>46177</v>
      </c>
      <c r="F51" s="9">
        <f>E51-D51</f>
        <v>28</v>
      </c>
      <c r="G51" s="9" t="s">
        <v>199</v>
      </c>
      <c r="H51" s="8" t="s">
        <v>329</v>
      </c>
      <c r="I51" s="9" t="s">
        <v>3</v>
      </c>
      <c r="J51" s="8" t="s">
        <v>24</v>
      </c>
      <c r="K51" s="27">
        <v>32033</v>
      </c>
      <c r="L51" s="8" t="s">
        <v>206</v>
      </c>
      <c r="M51" s="10">
        <v>46149</v>
      </c>
      <c r="N51" s="8" t="s">
        <v>166</v>
      </c>
      <c r="O51" s="10">
        <v>46154</v>
      </c>
      <c r="P51" s="8" t="s">
        <v>191</v>
      </c>
      <c r="Q51" s="10">
        <v>46163</v>
      </c>
      <c r="R51" s="11">
        <f>6580.03-5356.77</f>
        <v>1223.2599999999993</v>
      </c>
      <c r="S51" s="12">
        <v>0</v>
      </c>
      <c r="T51" s="11">
        <f>4358.58-3878.22</f>
        <v>480.36000000000013</v>
      </c>
      <c r="U51" s="12">
        <v>0</v>
      </c>
      <c r="V51" s="12">
        <f>10985.08-6542.88</f>
        <v>4442.2</v>
      </c>
      <c r="W51" s="12">
        <v>0</v>
      </c>
      <c r="X51" s="8" t="s">
        <v>30</v>
      </c>
      <c r="Y51" s="11">
        <v>6424.94</v>
      </c>
    </row>
    <row r="52" spans="1:25" x14ac:dyDescent="0.2">
      <c r="A52" s="8" t="s">
        <v>119</v>
      </c>
      <c r="B52" s="8" t="s">
        <v>194</v>
      </c>
      <c r="C52" s="24" t="s">
        <v>195</v>
      </c>
      <c r="D52" s="10">
        <v>46159</v>
      </c>
      <c r="E52" s="10">
        <v>46179</v>
      </c>
      <c r="F52" s="9">
        <f>E52-D52</f>
        <v>20</v>
      </c>
      <c r="G52" s="9" t="s">
        <v>199</v>
      </c>
      <c r="H52" s="8" t="s">
        <v>149</v>
      </c>
      <c r="I52" s="9" t="s">
        <v>32</v>
      </c>
      <c r="J52" s="8" t="s">
        <v>24</v>
      </c>
      <c r="K52" s="27">
        <v>25500</v>
      </c>
      <c r="L52" s="8" t="s">
        <v>169</v>
      </c>
      <c r="M52" s="10">
        <v>46159</v>
      </c>
      <c r="N52" s="8" t="s">
        <v>184</v>
      </c>
      <c r="O52" s="10">
        <v>46162</v>
      </c>
      <c r="P52" s="8" t="s">
        <v>149</v>
      </c>
      <c r="Q52" s="10"/>
      <c r="R52" s="11">
        <v>0</v>
      </c>
      <c r="S52" s="12">
        <v>0</v>
      </c>
      <c r="T52" s="11">
        <v>0</v>
      </c>
      <c r="U52" s="12">
        <f>2811.99-2319.89</f>
        <v>492.09999999999991</v>
      </c>
      <c r="V52" s="12"/>
      <c r="W52" s="12"/>
      <c r="X52" s="8" t="s">
        <v>25</v>
      </c>
      <c r="Y52" s="11">
        <v>6188.27</v>
      </c>
    </row>
    <row r="53" spans="1:25" x14ac:dyDescent="0.2">
      <c r="A53" s="8" t="s">
        <v>119</v>
      </c>
      <c r="B53" s="8" t="s">
        <v>182</v>
      </c>
      <c r="C53" s="24" t="s">
        <v>183</v>
      </c>
      <c r="D53" s="10">
        <v>46161</v>
      </c>
      <c r="E53" s="10">
        <v>46176</v>
      </c>
      <c r="F53" s="9">
        <f>E53-D53</f>
        <v>15</v>
      </c>
      <c r="G53" s="9" t="s">
        <v>199</v>
      </c>
      <c r="H53" s="8" t="s">
        <v>149</v>
      </c>
      <c r="I53" s="9" t="s">
        <v>32</v>
      </c>
      <c r="J53" s="8" t="s">
        <v>24</v>
      </c>
      <c r="K53" s="27">
        <v>24999.99</v>
      </c>
      <c r="L53" s="8" t="s">
        <v>169</v>
      </c>
      <c r="M53" s="10">
        <v>46161</v>
      </c>
      <c r="N53" s="8" t="s">
        <v>184</v>
      </c>
      <c r="O53" s="10">
        <v>46164</v>
      </c>
      <c r="P53" s="8" t="s">
        <v>149</v>
      </c>
      <c r="Q53" s="10"/>
      <c r="R53" s="11">
        <v>0</v>
      </c>
      <c r="S53" s="12">
        <v>0</v>
      </c>
      <c r="T53" s="11">
        <v>0</v>
      </c>
      <c r="U53" s="12">
        <v>0</v>
      </c>
      <c r="V53" s="12"/>
      <c r="W53" s="12"/>
      <c r="X53" s="8" t="s">
        <v>25</v>
      </c>
      <c r="Y53" s="11">
        <v>7621.33</v>
      </c>
    </row>
    <row r="54" spans="1:25" x14ac:dyDescent="0.2">
      <c r="A54" s="8" t="s">
        <v>119</v>
      </c>
      <c r="B54" s="8" t="s">
        <v>185</v>
      </c>
      <c r="C54" s="24" t="s">
        <v>186</v>
      </c>
      <c r="D54" s="10">
        <v>46159</v>
      </c>
      <c r="E54" s="10">
        <v>46176</v>
      </c>
      <c r="F54" s="9">
        <f>E54-D54</f>
        <v>17</v>
      </c>
      <c r="G54" s="9" t="s">
        <v>199</v>
      </c>
      <c r="H54" s="8" t="s">
        <v>149</v>
      </c>
      <c r="I54" s="9" t="s">
        <v>32</v>
      </c>
      <c r="J54" s="8" t="s">
        <v>24</v>
      </c>
      <c r="K54" s="27">
        <v>24999.99</v>
      </c>
      <c r="L54" s="8" t="s">
        <v>173</v>
      </c>
      <c r="M54" s="10">
        <v>46159</v>
      </c>
      <c r="N54" s="8" t="s">
        <v>184</v>
      </c>
      <c r="O54" s="10">
        <v>46162</v>
      </c>
      <c r="P54" s="8" t="s">
        <v>149</v>
      </c>
      <c r="Q54" s="10"/>
      <c r="R54" s="11">
        <v>0</v>
      </c>
      <c r="S54" s="12">
        <v>0</v>
      </c>
      <c r="T54" s="11">
        <v>0</v>
      </c>
      <c r="U54" s="12">
        <v>0</v>
      </c>
      <c r="V54" s="12"/>
      <c r="W54" s="12"/>
      <c r="X54" s="8" t="s">
        <v>25</v>
      </c>
      <c r="Y54" s="11">
        <v>7599.62</v>
      </c>
    </row>
    <row r="55" spans="1:25" x14ac:dyDescent="0.2">
      <c r="A55" s="8" t="s">
        <v>119</v>
      </c>
      <c r="B55" s="8" t="s">
        <v>187</v>
      </c>
      <c r="C55" s="24" t="s">
        <v>188</v>
      </c>
      <c r="D55" s="10">
        <v>46161</v>
      </c>
      <c r="E55" s="10">
        <v>46179</v>
      </c>
      <c r="F55" s="9">
        <f>E55-D55</f>
        <v>18</v>
      </c>
      <c r="G55" s="9" t="s">
        <v>199</v>
      </c>
      <c r="H55" s="8" t="s">
        <v>149</v>
      </c>
      <c r="I55" s="9" t="s">
        <v>32</v>
      </c>
      <c r="J55" s="8" t="s">
        <v>24</v>
      </c>
      <c r="K55" s="27">
        <v>25188</v>
      </c>
      <c r="L55" s="8" t="s">
        <v>169</v>
      </c>
      <c r="M55" s="10">
        <v>46161</v>
      </c>
      <c r="N55" s="8" t="s">
        <v>184</v>
      </c>
      <c r="O55" s="10">
        <v>46164</v>
      </c>
      <c r="P55" s="8" t="s">
        <v>149</v>
      </c>
      <c r="Q55" s="10"/>
      <c r="R55" s="11">
        <v>0</v>
      </c>
      <c r="S55" s="12">
        <v>0</v>
      </c>
      <c r="T55" s="11">
        <f>3796.18-2319.89</f>
        <v>1476.29</v>
      </c>
      <c r="U55" s="12">
        <f>2811.99-2319.89</f>
        <v>492.09999999999991</v>
      </c>
      <c r="V55" s="12"/>
      <c r="W55" s="12"/>
      <c r="X55" s="8" t="s">
        <v>25</v>
      </c>
      <c r="Y55" s="11">
        <v>7491.06</v>
      </c>
    </row>
    <row r="56" spans="1:25" x14ac:dyDescent="0.2">
      <c r="A56" s="8" t="s">
        <v>119</v>
      </c>
      <c r="B56" s="8" t="s">
        <v>189</v>
      </c>
      <c r="C56" s="24" t="s">
        <v>190</v>
      </c>
      <c r="D56" s="10">
        <v>46157</v>
      </c>
      <c r="E56" s="10">
        <v>46178</v>
      </c>
      <c r="F56" s="9">
        <f>E56-D56</f>
        <v>21</v>
      </c>
      <c r="G56" s="9" t="s">
        <v>199</v>
      </c>
      <c r="H56" s="8" t="s">
        <v>149</v>
      </c>
      <c r="I56" s="9" t="s">
        <v>32</v>
      </c>
      <c r="J56" s="8" t="s">
        <v>24</v>
      </c>
      <c r="K56" s="27">
        <v>25279.919999999998</v>
      </c>
      <c r="L56" s="8" t="s">
        <v>169</v>
      </c>
      <c r="M56" s="10">
        <v>46157</v>
      </c>
      <c r="N56" s="8" t="s">
        <v>191</v>
      </c>
      <c r="O56" s="10">
        <v>46160</v>
      </c>
      <c r="P56" s="8" t="s">
        <v>149</v>
      </c>
      <c r="Q56" s="10"/>
      <c r="R56" s="11">
        <f>10985.08-6542.88</f>
        <v>4442.2</v>
      </c>
      <c r="S56" s="12">
        <v>0</v>
      </c>
      <c r="T56" s="11">
        <f>3796.18-2319.89</f>
        <v>1476.29</v>
      </c>
      <c r="U56" s="12">
        <f>2811.99-2319.89</f>
        <v>492.09999999999991</v>
      </c>
      <c r="V56" s="12"/>
      <c r="W56" s="12"/>
      <c r="X56" s="8" t="s">
        <v>25</v>
      </c>
      <c r="Y56" s="11">
        <v>6459.68</v>
      </c>
    </row>
    <row r="57" spans="1:25" x14ac:dyDescent="0.2">
      <c r="A57" s="8" t="s">
        <v>119</v>
      </c>
      <c r="B57" s="8" t="s">
        <v>196</v>
      </c>
      <c r="C57" s="24" t="s">
        <v>197</v>
      </c>
      <c r="D57" s="10">
        <v>46162</v>
      </c>
      <c r="E57" s="10">
        <v>46179</v>
      </c>
      <c r="F57" s="9">
        <f>E57-D57</f>
        <v>17</v>
      </c>
      <c r="G57" s="9" t="s">
        <v>199</v>
      </c>
      <c r="H57" s="8" t="s">
        <v>149</v>
      </c>
      <c r="I57" s="9" t="s">
        <v>32</v>
      </c>
      <c r="J57" s="8" t="s">
        <v>24</v>
      </c>
      <c r="K57" s="27">
        <v>25592.78</v>
      </c>
      <c r="L57" s="8" t="s">
        <v>198</v>
      </c>
      <c r="M57" s="10">
        <v>46162</v>
      </c>
      <c r="N57" s="8" t="s">
        <v>191</v>
      </c>
      <c r="O57" s="10">
        <v>46165</v>
      </c>
      <c r="P57" s="8" t="s">
        <v>149</v>
      </c>
      <c r="Q57" s="10"/>
      <c r="R57" s="11">
        <f>10985.08-6542.88</f>
        <v>4442.2</v>
      </c>
      <c r="S57" s="12">
        <v>0</v>
      </c>
      <c r="T57" s="11">
        <v>0</v>
      </c>
      <c r="U57" s="12">
        <f>3163.48-2794.41</f>
        <v>369.07000000000016</v>
      </c>
      <c r="V57" s="12"/>
      <c r="W57" s="12"/>
      <c r="X57" s="8" t="s">
        <v>25</v>
      </c>
      <c r="Y57" s="11">
        <v>6188.27</v>
      </c>
    </row>
    <row r="58" spans="1:25" x14ac:dyDescent="0.2">
      <c r="A58" s="8" t="s">
        <v>119</v>
      </c>
      <c r="B58" s="8" t="s">
        <v>192</v>
      </c>
      <c r="C58" s="24" t="s">
        <v>193</v>
      </c>
      <c r="D58" s="10">
        <v>46159</v>
      </c>
      <c r="E58" s="10">
        <v>46179</v>
      </c>
      <c r="F58" s="9">
        <f>E58-D58</f>
        <v>20</v>
      </c>
      <c r="G58" s="9" t="s">
        <v>199</v>
      </c>
      <c r="H58" s="8" t="s">
        <v>149</v>
      </c>
      <c r="I58" s="9" t="s">
        <v>32</v>
      </c>
      <c r="J58" s="8" t="s">
        <v>24</v>
      </c>
      <c r="K58" s="27">
        <v>25499.99</v>
      </c>
      <c r="L58" s="8" t="s">
        <v>169</v>
      </c>
      <c r="M58" s="10">
        <v>46159</v>
      </c>
      <c r="N58" s="8" t="s">
        <v>191</v>
      </c>
      <c r="O58" s="10">
        <v>46162</v>
      </c>
      <c r="P58" s="8" t="s">
        <v>149</v>
      </c>
      <c r="Q58" s="10"/>
      <c r="R58" s="11">
        <v>0</v>
      </c>
      <c r="S58" s="12">
        <v>0</v>
      </c>
      <c r="T58" s="11">
        <v>0</v>
      </c>
      <c r="U58" s="12">
        <f>2811.99-2319.89</f>
        <v>492.09999999999991</v>
      </c>
      <c r="V58" s="12"/>
      <c r="W58" s="12"/>
      <c r="X58" s="8" t="s">
        <v>25</v>
      </c>
      <c r="Y58" s="11">
        <v>6188.27</v>
      </c>
    </row>
    <row r="59" spans="1:25" x14ac:dyDescent="0.2">
      <c r="A59" s="8" t="s">
        <v>119</v>
      </c>
      <c r="B59" s="8" t="s">
        <v>246</v>
      </c>
      <c r="C59" s="24" t="s">
        <v>214</v>
      </c>
      <c r="D59" s="10">
        <v>46160</v>
      </c>
      <c r="E59" s="10">
        <v>46173</v>
      </c>
      <c r="F59" s="9">
        <f>E59-D59</f>
        <v>13</v>
      </c>
      <c r="G59" s="9" t="s">
        <v>199</v>
      </c>
      <c r="H59" s="8" t="s">
        <v>23</v>
      </c>
      <c r="I59" s="9" t="s">
        <v>3</v>
      </c>
      <c r="J59" s="8" t="s">
        <v>24</v>
      </c>
      <c r="K59" s="27">
        <v>40706</v>
      </c>
      <c r="L59" s="8" t="s">
        <v>12</v>
      </c>
      <c r="M59" s="10">
        <v>46160</v>
      </c>
      <c r="N59" s="8" t="s">
        <v>18</v>
      </c>
      <c r="O59" s="10">
        <v>46163</v>
      </c>
      <c r="P59" s="8" t="s">
        <v>23</v>
      </c>
      <c r="Q59" s="10"/>
      <c r="R59" s="11">
        <v>0</v>
      </c>
      <c r="S59" s="12">
        <v>0</v>
      </c>
      <c r="T59" s="11">
        <v>0</v>
      </c>
      <c r="U59" s="12">
        <v>0</v>
      </c>
      <c r="V59" s="12"/>
      <c r="W59" s="12"/>
      <c r="X59" s="8" t="s">
        <v>25</v>
      </c>
      <c r="Y59" s="11">
        <v>7599.62</v>
      </c>
    </row>
    <row r="60" spans="1:25" x14ac:dyDescent="0.2">
      <c r="A60" s="8" t="s">
        <v>119</v>
      </c>
      <c r="B60" s="8" t="s">
        <v>247</v>
      </c>
      <c r="C60" s="24" t="s">
        <v>280</v>
      </c>
      <c r="D60" s="10">
        <v>46160</v>
      </c>
      <c r="E60" s="10">
        <v>46173</v>
      </c>
      <c r="F60" s="9">
        <f>E60-D60</f>
        <v>13</v>
      </c>
      <c r="G60" s="9" t="s">
        <v>199</v>
      </c>
      <c r="H60" s="8" t="s">
        <v>23</v>
      </c>
      <c r="I60" s="9" t="s">
        <v>3</v>
      </c>
      <c r="J60" s="8" t="s">
        <v>24</v>
      </c>
      <c r="K60" s="27">
        <v>41337.99</v>
      </c>
      <c r="L60" s="8" t="s">
        <v>121</v>
      </c>
      <c r="M60" s="10">
        <v>46160</v>
      </c>
      <c r="N60" s="8" t="s">
        <v>18</v>
      </c>
      <c r="O60" s="10">
        <v>46163</v>
      </c>
      <c r="P60" s="8" t="s">
        <v>23</v>
      </c>
      <c r="Q60" s="10"/>
      <c r="R60" s="11"/>
      <c r="S60" s="12"/>
      <c r="T60" s="11"/>
      <c r="U60" s="12"/>
      <c r="V60" s="12"/>
      <c r="W60" s="12"/>
      <c r="X60" s="8" t="s">
        <v>25</v>
      </c>
      <c r="Y60" s="11">
        <v>0</v>
      </c>
    </row>
    <row r="61" spans="1:25" x14ac:dyDescent="0.2">
      <c r="A61" s="8" t="s">
        <v>119</v>
      </c>
      <c r="B61" s="30" t="s">
        <v>208</v>
      </c>
      <c r="C61" s="24" t="s">
        <v>209</v>
      </c>
      <c r="D61" s="10">
        <v>46163</v>
      </c>
      <c r="E61" s="10">
        <v>46179</v>
      </c>
      <c r="F61" s="9">
        <f>E61-D61</f>
        <v>16</v>
      </c>
      <c r="G61" s="9" t="s">
        <v>199</v>
      </c>
      <c r="H61" s="8" t="s">
        <v>329</v>
      </c>
      <c r="I61" s="9" t="s">
        <v>3</v>
      </c>
      <c r="J61" s="8" t="s">
        <v>24</v>
      </c>
      <c r="K61" s="27">
        <v>34523.199999999997</v>
      </c>
      <c r="L61" s="8" t="s">
        <v>210</v>
      </c>
      <c r="M61" s="10">
        <v>46163</v>
      </c>
      <c r="N61" s="8" t="s">
        <v>114</v>
      </c>
      <c r="O61" s="10">
        <v>46173</v>
      </c>
      <c r="P61" s="8" t="s">
        <v>122</v>
      </c>
      <c r="Q61" s="10">
        <v>46166</v>
      </c>
      <c r="R61" s="11">
        <f>9279.52-5483.37</f>
        <v>3796.1500000000005</v>
      </c>
      <c r="S61" s="12">
        <f>6748.74-5483.37</f>
        <v>1265.3699999999999</v>
      </c>
      <c r="T61" s="11">
        <v>0</v>
      </c>
      <c r="U61" s="12">
        <v>0</v>
      </c>
      <c r="V61" s="12">
        <v>0</v>
      </c>
      <c r="W61" s="12">
        <v>0</v>
      </c>
      <c r="X61" s="8" t="s">
        <v>25</v>
      </c>
      <c r="Y61" s="11">
        <v>7491.06</v>
      </c>
    </row>
    <row r="62" spans="1:25" x14ac:dyDescent="0.2">
      <c r="A62" s="8" t="s">
        <v>119</v>
      </c>
      <c r="B62" s="8" t="s">
        <v>248</v>
      </c>
      <c r="C62" s="24" t="s">
        <v>212</v>
      </c>
      <c r="D62" s="10">
        <v>46160</v>
      </c>
      <c r="E62" s="10">
        <v>46174</v>
      </c>
      <c r="F62" s="9">
        <f>E62-D62</f>
        <v>14</v>
      </c>
      <c r="G62" s="9" t="s">
        <v>199</v>
      </c>
      <c r="H62" s="8" t="s">
        <v>329</v>
      </c>
      <c r="I62" s="9" t="s">
        <v>3</v>
      </c>
      <c r="J62" s="8" t="s">
        <v>24</v>
      </c>
      <c r="K62" s="27">
        <v>37250</v>
      </c>
      <c r="L62" s="8" t="s">
        <v>121</v>
      </c>
      <c r="M62" s="10">
        <v>46160</v>
      </c>
      <c r="N62" s="8" t="s">
        <v>114</v>
      </c>
      <c r="O62" s="10">
        <v>46163</v>
      </c>
      <c r="P62" s="8" t="s">
        <v>162</v>
      </c>
      <c r="Q62" s="10">
        <v>46166</v>
      </c>
      <c r="R62" s="11">
        <f>13448.98-7947.69</f>
        <v>5501.29</v>
      </c>
      <c r="S62" s="12">
        <f>9781.46-7947.69</f>
        <v>1833.7699999999995</v>
      </c>
      <c r="T62" s="11">
        <f>9780.78-5763.68</f>
        <v>4017.1000000000004</v>
      </c>
      <c r="U62" s="12">
        <f>7102.72-5763.68</f>
        <v>1339.04</v>
      </c>
      <c r="V62" s="12">
        <v>0</v>
      </c>
      <c r="W62" s="12">
        <f>9554.6-9550.18</f>
        <v>4.4200000000000728</v>
      </c>
      <c r="X62" s="8" t="s">
        <v>342</v>
      </c>
      <c r="Y62" s="11">
        <v>9119.5400000000009</v>
      </c>
    </row>
    <row r="63" spans="1:25" x14ac:dyDescent="0.2">
      <c r="A63" s="8" t="s">
        <v>241</v>
      </c>
      <c r="B63" s="8" t="s">
        <v>242</v>
      </c>
      <c r="C63" s="24" t="s">
        <v>276</v>
      </c>
      <c r="D63" s="19">
        <v>46163</v>
      </c>
      <c r="E63" s="19">
        <v>46173</v>
      </c>
      <c r="F63" s="9">
        <f>E63-D63</f>
        <v>10</v>
      </c>
      <c r="G63" s="9" t="s">
        <v>199</v>
      </c>
      <c r="H63" s="8" t="s">
        <v>23</v>
      </c>
      <c r="I63" s="9" t="s">
        <v>3</v>
      </c>
      <c r="J63" s="8" t="s">
        <v>148</v>
      </c>
      <c r="K63" s="27">
        <v>37589.339999999997</v>
      </c>
      <c r="L63" s="8" t="s">
        <v>26</v>
      </c>
      <c r="M63" s="10">
        <v>46163</v>
      </c>
      <c r="N63" s="8" t="s">
        <v>306</v>
      </c>
      <c r="O63" s="10">
        <v>46166</v>
      </c>
      <c r="P63" s="8" t="s">
        <v>23</v>
      </c>
      <c r="Q63" s="10"/>
      <c r="R63" s="11">
        <f>20377.67-15429.64</f>
        <v>4948.0299999999988</v>
      </c>
      <c r="S63" s="12">
        <v>0</v>
      </c>
      <c r="T63" s="11">
        <v>0</v>
      </c>
      <c r="U63" s="12">
        <v>0</v>
      </c>
      <c r="V63" s="12"/>
      <c r="W63" s="12"/>
      <c r="X63" s="8" t="s">
        <v>25</v>
      </c>
      <c r="Y63" s="11">
        <v>11347.72</v>
      </c>
    </row>
    <row r="64" spans="1:25" x14ac:dyDescent="0.2">
      <c r="A64" s="8" t="s">
        <v>241</v>
      </c>
      <c r="B64" s="8" t="s">
        <v>244</v>
      </c>
      <c r="C64" s="24" t="s">
        <v>278</v>
      </c>
      <c r="D64" s="19">
        <v>46164</v>
      </c>
      <c r="E64" s="19">
        <v>46176</v>
      </c>
      <c r="F64" s="9">
        <f>E64-D64</f>
        <v>12</v>
      </c>
      <c r="G64" s="9" t="s">
        <v>27</v>
      </c>
      <c r="H64" s="8" t="s">
        <v>23</v>
      </c>
      <c r="I64" s="9" t="s">
        <v>3</v>
      </c>
      <c r="J64" s="8" t="s">
        <v>24</v>
      </c>
      <c r="K64" s="27">
        <v>35461.24</v>
      </c>
      <c r="L64" s="8" t="s">
        <v>310</v>
      </c>
      <c r="M64" s="10">
        <v>46173</v>
      </c>
      <c r="N64" s="8" t="s">
        <v>311</v>
      </c>
      <c r="O64" s="10">
        <v>46164</v>
      </c>
      <c r="P64" s="8" t="s">
        <v>23</v>
      </c>
      <c r="Q64" s="10"/>
      <c r="R64" s="11">
        <v>0</v>
      </c>
      <c r="S64" s="12">
        <v>0</v>
      </c>
      <c r="T64" s="11">
        <v>0</v>
      </c>
      <c r="U64" s="12">
        <v>0</v>
      </c>
      <c r="V64" s="12"/>
      <c r="W64" s="12"/>
      <c r="X64" s="8" t="s">
        <v>25</v>
      </c>
      <c r="Y64" s="11">
        <v>11220.05</v>
      </c>
    </row>
    <row r="65" spans="1:25" x14ac:dyDescent="0.2">
      <c r="A65" s="8" t="s">
        <v>241</v>
      </c>
      <c r="B65" s="8" t="s">
        <v>245</v>
      </c>
      <c r="C65" s="26" t="s">
        <v>279</v>
      </c>
      <c r="D65" s="19">
        <v>46163</v>
      </c>
      <c r="E65" s="19">
        <v>46176</v>
      </c>
      <c r="F65" s="9">
        <f>E65-D65</f>
        <v>13</v>
      </c>
      <c r="G65" s="9" t="s">
        <v>27</v>
      </c>
      <c r="H65" s="8" t="s">
        <v>23</v>
      </c>
      <c r="I65" s="9" t="s">
        <v>3</v>
      </c>
      <c r="J65" s="8" t="s">
        <v>24</v>
      </c>
      <c r="K65" s="27">
        <v>33353.050000000003</v>
      </c>
      <c r="L65" s="8" t="s">
        <v>310</v>
      </c>
      <c r="M65" s="10">
        <v>46173</v>
      </c>
      <c r="N65" s="8" t="s">
        <v>306</v>
      </c>
      <c r="O65" s="10">
        <v>46163</v>
      </c>
      <c r="P65" s="8" t="s">
        <v>23</v>
      </c>
      <c r="Q65" s="10"/>
      <c r="R65" s="11">
        <f>20379.78-15430.71</f>
        <v>4949.07</v>
      </c>
      <c r="S65" s="12">
        <v>0</v>
      </c>
      <c r="T65" s="11">
        <v>0</v>
      </c>
      <c r="U65" s="12">
        <v>0</v>
      </c>
      <c r="V65" s="12"/>
      <c r="W65" s="12"/>
      <c r="X65" s="8" t="s">
        <v>25</v>
      </c>
      <c r="Y65" s="11">
        <v>11238.86</v>
      </c>
    </row>
    <row r="66" spans="1:25" x14ac:dyDescent="0.2">
      <c r="A66" s="8" t="s">
        <v>241</v>
      </c>
      <c r="B66" s="8" t="s">
        <v>258</v>
      </c>
      <c r="C66" s="24" t="s">
        <v>29</v>
      </c>
      <c r="D66" s="10">
        <v>46163</v>
      </c>
      <c r="E66" s="10">
        <v>46179</v>
      </c>
      <c r="F66" s="9">
        <f>E66-D66</f>
        <v>16</v>
      </c>
      <c r="G66" s="9" t="s">
        <v>199</v>
      </c>
      <c r="H66" s="8" t="s">
        <v>329</v>
      </c>
      <c r="I66" s="9" t="s">
        <v>3</v>
      </c>
      <c r="J66" s="8" t="s">
        <v>24</v>
      </c>
      <c r="K66" s="27">
        <v>25691.84</v>
      </c>
      <c r="L66" s="8" t="s">
        <v>26</v>
      </c>
      <c r="M66" s="10">
        <v>46163</v>
      </c>
      <c r="N66" s="8" t="s">
        <v>311</v>
      </c>
      <c r="O66" s="10">
        <v>46174</v>
      </c>
      <c r="P66" s="8" t="s">
        <v>319</v>
      </c>
      <c r="Q66" s="10">
        <v>46166</v>
      </c>
      <c r="R66" s="11">
        <v>0</v>
      </c>
      <c r="S66" s="12">
        <v>0</v>
      </c>
      <c r="T66" s="11">
        <v>0</v>
      </c>
      <c r="U66" s="12">
        <v>0</v>
      </c>
      <c r="V66" s="12">
        <v>0</v>
      </c>
      <c r="W66" s="12">
        <f>3897.57-3894.04</f>
        <v>3.5300000000002001</v>
      </c>
      <c r="X66" s="8" t="s">
        <v>25</v>
      </c>
      <c r="Y66" s="11">
        <v>11348.31</v>
      </c>
    </row>
    <row r="67" spans="1:25" x14ac:dyDescent="0.2">
      <c r="A67" s="8" t="s">
        <v>241</v>
      </c>
      <c r="B67" s="8" t="s">
        <v>253</v>
      </c>
      <c r="C67" s="26" t="s">
        <v>285</v>
      </c>
      <c r="D67" s="19">
        <v>46163</v>
      </c>
      <c r="E67" s="19">
        <v>46179</v>
      </c>
      <c r="F67" s="9">
        <f>E67-D67</f>
        <v>16</v>
      </c>
      <c r="G67" s="9" t="s">
        <v>199</v>
      </c>
      <c r="H67" s="8" t="s">
        <v>329</v>
      </c>
      <c r="I67" s="9" t="s">
        <v>3</v>
      </c>
      <c r="J67" s="8" t="s">
        <v>24</v>
      </c>
      <c r="K67" s="27">
        <v>27028</v>
      </c>
      <c r="L67" s="8" t="s">
        <v>26</v>
      </c>
      <c r="M67" s="10">
        <v>46163</v>
      </c>
      <c r="N67" s="8" t="s">
        <v>306</v>
      </c>
      <c r="O67" s="10">
        <v>46174</v>
      </c>
      <c r="P67" s="8" t="s">
        <v>314</v>
      </c>
      <c r="Q67" s="10">
        <v>46166</v>
      </c>
      <c r="R67" s="11">
        <v>1163.44</v>
      </c>
      <c r="S67" s="12">
        <v>0</v>
      </c>
      <c r="T67" s="11">
        <v>0</v>
      </c>
      <c r="U67" s="12">
        <v>0</v>
      </c>
      <c r="V67" s="12">
        <v>0</v>
      </c>
      <c r="W67" s="12">
        <v>0</v>
      </c>
      <c r="X67" s="8" t="s">
        <v>25</v>
      </c>
      <c r="Y67" s="28">
        <v>11348.31</v>
      </c>
    </row>
    <row r="68" spans="1:25" x14ac:dyDescent="0.2">
      <c r="A68" s="8" t="s">
        <v>241</v>
      </c>
      <c r="B68" s="8" t="s">
        <v>259</v>
      </c>
      <c r="C68" s="24" t="s">
        <v>287</v>
      </c>
      <c r="D68" s="10">
        <v>46159</v>
      </c>
      <c r="E68" s="10">
        <v>46175</v>
      </c>
      <c r="F68" s="9">
        <f>E68-D68</f>
        <v>16</v>
      </c>
      <c r="G68" s="9" t="s">
        <v>199</v>
      </c>
      <c r="H68" s="8" t="s">
        <v>149</v>
      </c>
      <c r="I68" s="9" t="s">
        <v>32</v>
      </c>
      <c r="J68" s="8" t="s">
        <v>24</v>
      </c>
      <c r="K68" s="27">
        <v>25869.68</v>
      </c>
      <c r="L68" s="8" t="s">
        <v>307</v>
      </c>
      <c r="M68" s="10">
        <v>46159</v>
      </c>
      <c r="N68" s="8" t="s">
        <v>162</v>
      </c>
      <c r="O68" s="10">
        <v>46162</v>
      </c>
      <c r="P68" s="8" t="s">
        <v>149</v>
      </c>
      <c r="Q68" s="10"/>
      <c r="R68" s="11">
        <v>0</v>
      </c>
      <c r="S68" s="12">
        <f>9554.62-9550.18</f>
        <v>4.4400000000005093</v>
      </c>
      <c r="T68" s="11">
        <v>0</v>
      </c>
      <c r="U68" s="12">
        <f>2864-2327.25</f>
        <v>536.75</v>
      </c>
      <c r="V68" s="12"/>
      <c r="W68" s="12"/>
      <c r="X68" s="8" t="s">
        <v>327</v>
      </c>
      <c r="Y68" s="28">
        <v>11158.66</v>
      </c>
    </row>
    <row r="69" spans="1:25" x14ac:dyDescent="0.2">
      <c r="A69" s="8" t="s">
        <v>241</v>
      </c>
      <c r="B69" s="8" t="s">
        <v>254</v>
      </c>
      <c r="C69" s="24" t="s">
        <v>286</v>
      </c>
      <c r="D69" s="19">
        <v>46159</v>
      </c>
      <c r="E69" s="19">
        <v>46175</v>
      </c>
      <c r="F69" s="9">
        <f>E69-D69</f>
        <v>16</v>
      </c>
      <c r="G69" s="9" t="s">
        <v>199</v>
      </c>
      <c r="H69" s="8" t="s">
        <v>23</v>
      </c>
      <c r="I69" s="9" t="s">
        <v>31</v>
      </c>
      <c r="J69" s="8" t="s">
        <v>24</v>
      </c>
      <c r="K69" s="27">
        <v>24702.94</v>
      </c>
      <c r="L69" s="8" t="s">
        <v>313</v>
      </c>
      <c r="M69" s="10">
        <v>46159</v>
      </c>
      <c r="N69" s="8" t="s">
        <v>308</v>
      </c>
      <c r="O69" s="10">
        <v>46162</v>
      </c>
      <c r="P69" s="8" t="s">
        <v>23</v>
      </c>
      <c r="Q69" s="10"/>
      <c r="R69" s="11">
        <v>0</v>
      </c>
      <c r="S69" s="12">
        <f>9896.57-8383.44</f>
        <v>1513.1299999999992</v>
      </c>
      <c r="T69" s="11">
        <v>0</v>
      </c>
      <c r="U69" s="12">
        <f>2864-2327.25</f>
        <v>536.75</v>
      </c>
      <c r="V69" s="12"/>
      <c r="W69" s="12"/>
      <c r="X69" s="8" t="s">
        <v>327</v>
      </c>
      <c r="Y69" s="28">
        <v>11158.66</v>
      </c>
    </row>
    <row r="70" spans="1:25" x14ac:dyDescent="0.2">
      <c r="A70" s="8" t="s">
        <v>241</v>
      </c>
      <c r="B70" s="8" t="s">
        <v>243</v>
      </c>
      <c r="C70" s="24" t="s">
        <v>277</v>
      </c>
      <c r="D70" s="19">
        <v>46162</v>
      </c>
      <c r="E70" s="19">
        <v>46173</v>
      </c>
      <c r="F70" s="9">
        <f>E70-D70</f>
        <v>11</v>
      </c>
      <c r="G70" s="9" t="s">
        <v>199</v>
      </c>
      <c r="H70" s="8" t="s">
        <v>309</v>
      </c>
      <c r="I70" s="9" t="s">
        <v>31</v>
      </c>
      <c r="J70" s="8" t="s">
        <v>24</v>
      </c>
      <c r="K70" s="27">
        <v>24752.76</v>
      </c>
      <c r="L70" s="8" t="s">
        <v>307</v>
      </c>
      <c r="M70" s="10">
        <v>46162</v>
      </c>
      <c r="N70" s="8" t="s">
        <v>308</v>
      </c>
      <c r="O70" s="10">
        <v>46165</v>
      </c>
      <c r="P70" s="8" t="s">
        <v>309</v>
      </c>
      <c r="Q70" s="10"/>
      <c r="R70" s="11">
        <v>0</v>
      </c>
      <c r="S70" s="12">
        <v>0</v>
      </c>
      <c r="T70" s="11">
        <v>0</v>
      </c>
      <c r="U70" s="12">
        <v>0</v>
      </c>
      <c r="V70" s="12"/>
      <c r="W70" s="12"/>
      <c r="X70" s="8" t="s">
        <v>25</v>
      </c>
      <c r="Y70" s="28">
        <v>11347.72</v>
      </c>
    </row>
    <row r="71" spans="1:25" x14ac:dyDescent="0.2">
      <c r="A71" s="8" t="s">
        <v>241</v>
      </c>
      <c r="B71" s="8" t="s">
        <v>264</v>
      </c>
      <c r="C71" s="26" t="s">
        <v>294</v>
      </c>
      <c r="D71" s="19">
        <v>46156</v>
      </c>
      <c r="E71" s="19">
        <v>46175</v>
      </c>
      <c r="F71" s="9">
        <f>E71-D71</f>
        <v>19</v>
      </c>
      <c r="G71" s="9" t="s">
        <v>199</v>
      </c>
      <c r="H71" s="8" t="s">
        <v>329</v>
      </c>
      <c r="I71" s="9" t="s">
        <v>3</v>
      </c>
      <c r="J71" s="8" t="s">
        <v>24</v>
      </c>
      <c r="K71" s="27">
        <v>25203.56</v>
      </c>
      <c r="L71" s="8" t="s">
        <v>313</v>
      </c>
      <c r="M71" s="10">
        <v>46156</v>
      </c>
      <c r="N71" s="8" t="s">
        <v>306</v>
      </c>
      <c r="O71" s="10">
        <v>46159</v>
      </c>
      <c r="P71" s="8" t="s">
        <v>314</v>
      </c>
      <c r="Q71" s="10">
        <v>46163</v>
      </c>
      <c r="R71" s="11">
        <f>3495.29-1456.62</f>
        <v>2038.67</v>
      </c>
      <c r="S71" s="12">
        <v>0</v>
      </c>
      <c r="T71" s="11">
        <v>0</v>
      </c>
      <c r="U71" s="12">
        <f>2864-2327.25</f>
        <v>536.75</v>
      </c>
      <c r="V71" s="12">
        <v>0</v>
      </c>
      <c r="W71" s="12">
        <f>6974.66-6780.76</f>
        <v>193.89999999999964</v>
      </c>
      <c r="X71" s="8" t="s">
        <v>25</v>
      </c>
      <c r="Y71" s="28">
        <v>8301.75</v>
      </c>
    </row>
    <row r="72" spans="1:25" x14ac:dyDescent="0.2">
      <c r="A72" s="8" t="s">
        <v>241</v>
      </c>
      <c r="B72" s="8" t="s">
        <v>261</v>
      </c>
      <c r="C72" s="26" t="s">
        <v>291</v>
      </c>
      <c r="D72" s="19">
        <v>46156</v>
      </c>
      <c r="E72" s="19">
        <v>46174</v>
      </c>
      <c r="F72" s="9">
        <f>E72-D72</f>
        <v>18</v>
      </c>
      <c r="G72" s="9" t="s">
        <v>199</v>
      </c>
      <c r="H72" s="8" t="s">
        <v>329</v>
      </c>
      <c r="I72" s="9" t="s">
        <v>3</v>
      </c>
      <c r="J72" s="8" t="s">
        <v>24</v>
      </c>
      <c r="K72" s="27">
        <v>27616.21</v>
      </c>
      <c r="L72" s="8" t="s">
        <v>320</v>
      </c>
      <c r="M72" s="10">
        <v>46156</v>
      </c>
      <c r="N72" s="8" t="s">
        <v>311</v>
      </c>
      <c r="O72" s="10">
        <v>46159</v>
      </c>
      <c r="P72" s="8" t="s">
        <v>162</v>
      </c>
      <c r="Q72" s="10">
        <v>46163</v>
      </c>
      <c r="R72" s="11">
        <v>0</v>
      </c>
      <c r="S72" s="12">
        <v>0</v>
      </c>
      <c r="T72" s="11">
        <v>0</v>
      </c>
      <c r="U72" s="12">
        <f>2864-2327.25</f>
        <v>536.75</v>
      </c>
      <c r="V72" s="12">
        <v>0</v>
      </c>
      <c r="W72" s="12">
        <f>9554.67-9550.18</f>
        <v>4.4899999999997817</v>
      </c>
      <c r="X72" s="8" t="s">
        <v>25</v>
      </c>
      <c r="Y72" s="28">
        <v>9555.68</v>
      </c>
    </row>
    <row r="73" spans="1:25" x14ac:dyDescent="0.2">
      <c r="A73" s="8" t="s">
        <v>241</v>
      </c>
      <c r="B73" s="8" t="s">
        <v>268</v>
      </c>
      <c r="C73" s="26" t="s">
        <v>298</v>
      </c>
      <c r="D73" s="19">
        <v>46156</v>
      </c>
      <c r="E73" s="19">
        <v>46175</v>
      </c>
      <c r="F73" s="9">
        <f>E73-D73</f>
        <v>19</v>
      </c>
      <c r="G73" s="9" t="s">
        <v>199</v>
      </c>
      <c r="H73" s="8" t="s">
        <v>23</v>
      </c>
      <c r="I73" s="9" t="s">
        <v>31</v>
      </c>
      <c r="J73" s="8" t="s">
        <v>24</v>
      </c>
      <c r="K73" s="27">
        <v>25426.69</v>
      </c>
      <c r="L73" s="8" t="s">
        <v>307</v>
      </c>
      <c r="M73" s="10">
        <v>46156</v>
      </c>
      <c r="N73" s="8" t="s">
        <v>316</v>
      </c>
      <c r="O73" s="10">
        <v>46159</v>
      </c>
      <c r="P73" s="8" t="s">
        <v>23</v>
      </c>
      <c r="Q73" s="10"/>
      <c r="R73" s="11">
        <v>2997.83</v>
      </c>
      <c r="S73" s="12">
        <v>0</v>
      </c>
      <c r="T73" s="11">
        <v>0</v>
      </c>
      <c r="U73" s="12">
        <v>0</v>
      </c>
      <c r="V73" s="12"/>
      <c r="W73" s="12"/>
      <c r="X73" s="8" t="s">
        <v>326</v>
      </c>
      <c r="Y73" s="28">
        <v>6652.56</v>
      </c>
    </row>
    <row r="74" spans="1:25" x14ac:dyDescent="0.2">
      <c r="A74" s="8" t="s">
        <v>241</v>
      </c>
      <c r="B74" s="8" t="s">
        <v>256</v>
      </c>
      <c r="C74" s="26" t="s">
        <v>288</v>
      </c>
      <c r="D74" s="19">
        <v>46162</v>
      </c>
      <c r="E74" s="19">
        <v>46178</v>
      </c>
      <c r="F74" s="9">
        <f>E74-D74</f>
        <v>16</v>
      </c>
      <c r="G74" s="9" t="s">
        <v>199</v>
      </c>
      <c r="H74" s="8" t="s">
        <v>23</v>
      </c>
      <c r="I74" s="9" t="s">
        <v>31</v>
      </c>
      <c r="J74" s="8" t="s">
        <v>24</v>
      </c>
      <c r="K74" s="27">
        <v>24901.360000000001</v>
      </c>
      <c r="L74" s="8" t="s">
        <v>307</v>
      </c>
      <c r="M74" s="10">
        <v>46162</v>
      </c>
      <c r="N74" s="8" t="s">
        <v>316</v>
      </c>
      <c r="O74" s="10">
        <v>46165</v>
      </c>
      <c r="P74" s="8" t="s">
        <v>23</v>
      </c>
      <c r="Q74" s="10"/>
      <c r="R74" s="11">
        <v>2997.76</v>
      </c>
      <c r="S74" s="12">
        <v>0</v>
      </c>
      <c r="T74" s="11">
        <v>0</v>
      </c>
      <c r="U74" s="12">
        <v>0</v>
      </c>
      <c r="V74" s="12"/>
      <c r="W74" s="12"/>
      <c r="X74" s="8" t="s">
        <v>326</v>
      </c>
      <c r="Y74" s="28">
        <v>0</v>
      </c>
    </row>
    <row r="75" spans="1:25" x14ac:dyDescent="0.2">
      <c r="A75" s="8" t="s">
        <v>241</v>
      </c>
      <c r="B75" s="8" t="s">
        <v>263</v>
      </c>
      <c r="C75" s="26" t="s">
        <v>293</v>
      </c>
      <c r="D75" s="19">
        <v>46156</v>
      </c>
      <c r="E75" s="19">
        <v>46174</v>
      </c>
      <c r="F75" s="9">
        <f>E75-D75</f>
        <v>18</v>
      </c>
      <c r="G75" s="9" t="s">
        <v>199</v>
      </c>
      <c r="H75" s="8" t="s">
        <v>23</v>
      </c>
      <c r="I75" s="9" t="s">
        <v>32</v>
      </c>
      <c r="J75" s="8" t="s">
        <v>24</v>
      </c>
      <c r="K75" s="27">
        <v>22986.13</v>
      </c>
      <c r="L75" s="8" t="s">
        <v>317</v>
      </c>
      <c r="M75" s="10">
        <v>46156</v>
      </c>
      <c r="N75" s="8" t="s">
        <v>322</v>
      </c>
      <c r="O75" s="10">
        <v>46159</v>
      </c>
      <c r="P75" s="8" t="s">
        <v>23</v>
      </c>
      <c r="Q75" s="10"/>
      <c r="R75" s="11"/>
      <c r="S75" s="12"/>
      <c r="T75" s="11">
        <v>1576.48</v>
      </c>
      <c r="U75" s="12"/>
      <c r="V75" s="12"/>
      <c r="W75" s="12"/>
      <c r="X75" s="8" t="s">
        <v>30</v>
      </c>
      <c r="Y75" s="28">
        <v>9569.82</v>
      </c>
    </row>
    <row r="76" spans="1:25" x14ac:dyDescent="0.2">
      <c r="A76" s="8" t="s">
        <v>241</v>
      </c>
      <c r="B76" s="8" t="s">
        <v>265</v>
      </c>
      <c r="C76" s="25" t="s">
        <v>295</v>
      </c>
      <c r="D76" s="19">
        <v>46156</v>
      </c>
      <c r="E76" s="19">
        <v>46175</v>
      </c>
      <c r="F76" s="9">
        <f>E76-D76</f>
        <v>19</v>
      </c>
      <c r="G76" s="9" t="s">
        <v>199</v>
      </c>
      <c r="H76" s="8" t="s">
        <v>23</v>
      </c>
      <c r="I76" s="9" t="s">
        <v>31</v>
      </c>
      <c r="J76" s="8" t="s">
        <v>24</v>
      </c>
      <c r="K76" s="27">
        <v>27502.79</v>
      </c>
      <c r="L76" s="8" t="s">
        <v>307</v>
      </c>
      <c r="M76" s="10">
        <v>46156</v>
      </c>
      <c r="N76" s="8" t="s">
        <v>323</v>
      </c>
      <c r="O76" s="10">
        <v>46159</v>
      </c>
      <c r="P76" s="8" t="s">
        <v>23</v>
      </c>
      <c r="Q76" s="10"/>
      <c r="R76" s="11">
        <v>0</v>
      </c>
      <c r="S76" s="12">
        <v>0</v>
      </c>
      <c r="T76" s="11">
        <v>0</v>
      </c>
      <c r="U76" s="12">
        <v>0</v>
      </c>
      <c r="V76" s="12"/>
      <c r="W76" s="12"/>
      <c r="X76" s="8" t="s">
        <v>30</v>
      </c>
      <c r="Y76" s="28">
        <v>11690.67</v>
      </c>
    </row>
    <row r="77" spans="1:25" x14ac:dyDescent="0.2">
      <c r="A77" s="8" t="s">
        <v>241</v>
      </c>
      <c r="B77" s="8" t="s">
        <v>252</v>
      </c>
      <c r="C77" s="26" t="s">
        <v>284</v>
      </c>
      <c r="D77" s="19">
        <v>46159</v>
      </c>
      <c r="E77" s="19">
        <v>46174</v>
      </c>
      <c r="F77" s="9">
        <f>E77-D77</f>
        <v>15</v>
      </c>
      <c r="G77" s="9" t="s">
        <v>199</v>
      </c>
      <c r="H77" s="8" t="s">
        <v>23</v>
      </c>
      <c r="I77" s="9" t="s">
        <v>32</v>
      </c>
      <c r="J77" s="8" t="s">
        <v>24</v>
      </c>
      <c r="K77" s="27">
        <v>25197.66</v>
      </c>
      <c r="L77" s="8" t="s">
        <v>313</v>
      </c>
      <c r="M77" s="10">
        <v>46159</v>
      </c>
      <c r="N77" s="8" t="s">
        <v>312</v>
      </c>
      <c r="O77" s="10">
        <v>46162</v>
      </c>
      <c r="P77" s="8" t="s">
        <v>23</v>
      </c>
      <c r="Q77" s="10"/>
      <c r="R77" s="11"/>
      <c r="S77" s="12"/>
      <c r="T77" s="11"/>
      <c r="U77" s="12"/>
      <c r="V77" s="12"/>
      <c r="W77" s="12"/>
      <c r="X77" s="8" t="s">
        <v>326</v>
      </c>
      <c r="Y77" s="28">
        <v>0</v>
      </c>
    </row>
    <row r="78" spans="1:25" x14ac:dyDescent="0.2">
      <c r="A78" s="8" t="s">
        <v>241</v>
      </c>
      <c r="B78" s="8" t="s">
        <v>249</v>
      </c>
      <c r="C78" s="26" t="s">
        <v>281</v>
      </c>
      <c r="D78" s="19">
        <v>46162</v>
      </c>
      <c r="E78" s="19">
        <v>46176</v>
      </c>
      <c r="F78" s="9">
        <f>E78-D78</f>
        <v>14</v>
      </c>
      <c r="G78" s="9" t="s">
        <v>27</v>
      </c>
      <c r="H78" s="8" t="s">
        <v>23</v>
      </c>
      <c r="I78" s="9" t="s">
        <v>32</v>
      </c>
      <c r="J78" s="8" t="s">
        <v>24</v>
      </c>
      <c r="K78" s="27">
        <v>25559.32</v>
      </c>
      <c r="L78" s="8" t="s">
        <v>307</v>
      </c>
      <c r="M78" s="10">
        <v>46173</v>
      </c>
      <c r="N78" s="8" t="s">
        <v>312</v>
      </c>
      <c r="O78" s="10">
        <v>46162</v>
      </c>
      <c r="P78" s="8" t="s">
        <v>23</v>
      </c>
      <c r="Q78" s="10"/>
      <c r="R78" s="11">
        <v>0</v>
      </c>
      <c r="S78" s="12">
        <v>0</v>
      </c>
      <c r="T78" s="11">
        <v>0</v>
      </c>
      <c r="U78" s="12">
        <v>0</v>
      </c>
      <c r="V78" s="12"/>
      <c r="W78" s="12"/>
      <c r="X78" s="8" t="s">
        <v>25</v>
      </c>
      <c r="Y78" s="28">
        <v>9482.7199999999993</v>
      </c>
    </row>
    <row r="79" spans="1:25" x14ac:dyDescent="0.2">
      <c r="A79" s="8" t="s">
        <v>17</v>
      </c>
      <c r="B79" s="8" t="s">
        <v>1</v>
      </c>
      <c r="C79" s="25" t="s">
        <v>89</v>
      </c>
      <c r="D79" s="10">
        <v>46160</v>
      </c>
      <c r="E79" s="10">
        <v>46174</v>
      </c>
      <c r="F79" s="9">
        <f>E79-D79</f>
        <v>14</v>
      </c>
      <c r="G79" s="9" t="s">
        <v>199</v>
      </c>
      <c r="H79" s="8" t="s">
        <v>23</v>
      </c>
      <c r="I79" s="9" t="s">
        <v>3</v>
      </c>
      <c r="J79" s="8" t="s">
        <v>24</v>
      </c>
      <c r="K79" s="27">
        <v>32710</v>
      </c>
      <c r="L79" s="8" t="s">
        <v>2</v>
      </c>
      <c r="M79" s="10">
        <v>46160</v>
      </c>
      <c r="N79" s="8" t="s">
        <v>50</v>
      </c>
      <c r="O79" s="10">
        <v>46163</v>
      </c>
      <c r="P79" s="8" t="s">
        <v>23</v>
      </c>
      <c r="Q79" s="10"/>
      <c r="R79" s="11">
        <f>26277.89-15454.26</f>
        <v>10823.63</v>
      </c>
      <c r="S79" s="12">
        <f>18754.46-15454.26</f>
        <v>3300.1999999999989</v>
      </c>
      <c r="T79" s="11">
        <f>5677.37-3274.76</f>
        <v>2402.6099999999997</v>
      </c>
      <c r="U79" s="12">
        <f>4073.17-3274.76</f>
        <v>798.40999999999985</v>
      </c>
      <c r="V79" s="12"/>
      <c r="W79" s="12"/>
      <c r="X79" s="8" t="s">
        <v>25</v>
      </c>
      <c r="Y79" s="28">
        <v>7599.62</v>
      </c>
    </row>
    <row r="80" spans="1:25" x14ac:dyDescent="0.2">
      <c r="A80" s="8" t="s">
        <v>17</v>
      </c>
      <c r="B80" s="8" t="s">
        <v>156</v>
      </c>
      <c r="C80" s="24" t="s">
        <v>157</v>
      </c>
      <c r="D80" s="10">
        <v>46160</v>
      </c>
      <c r="E80" s="10">
        <v>46176</v>
      </c>
      <c r="F80" s="9">
        <f>E80-D80</f>
        <v>16</v>
      </c>
      <c r="G80" s="9" t="s">
        <v>199</v>
      </c>
      <c r="H80" s="8" t="s">
        <v>149</v>
      </c>
      <c r="I80" s="9" t="s">
        <v>32</v>
      </c>
      <c r="J80" s="8" t="s">
        <v>24</v>
      </c>
      <c r="K80" s="27">
        <v>24415</v>
      </c>
      <c r="L80" s="8" t="s">
        <v>158</v>
      </c>
      <c r="M80" s="10">
        <v>46160</v>
      </c>
      <c r="N80" s="8" t="s">
        <v>111</v>
      </c>
      <c r="O80" s="10">
        <v>46163</v>
      </c>
      <c r="P80" s="8" t="s">
        <v>149</v>
      </c>
      <c r="Q80" s="10"/>
      <c r="R80" s="11">
        <f>13142.86-7151.69</f>
        <v>5991.170000000001</v>
      </c>
      <c r="S80" s="12">
        <f>9154.23-7151.69</f>
        <v>2002.54</v>
      </c>
      <c r="T80" s="11">
        <f>5261.27-2977.56</f>
        <v>2283.7100000000005</v>
      </c>
      <c r="U80" s="12">
        <f>3726.37-2977.56</f>
        <v>748.81</v>
      </c>
      <c r="V80" s="12"/>
      <c r="W80" s="12"/>
      <c r="X80" s="8" t="s">
        <v>110</v>
      </c>
      <c r="Y80" s="28">
        <v>6188.27</v>
      </c>
    </row>
    <row r="81" spans="1:25" x14ac:dyDescent="0.2">
      <c r="A81" s="8" t="s">
        <v>17</v>
      </c>
      <c r="B81" s="8" t="s">
        <v>109</v>
      </c>
      <c r="C81" s="25" t="s">
        <v>117</v>
      </c>
      <c r="D81" s="10">
        <v>46154</v>
      </c>
      <c r="E81" s="10">
        <v>46177</v>
      </c>
      <c r="F81" s="9">
        <f>E81-D81</f>
        <v>23</v>
      </c>
      <c r="G81" s="9" t="s">
        <v>199</v>
      </c>
      <c r="H81" s="8" t="s">
        <v>23</v>
      </c>
      <c r="I81" s="9" t="s">
        <v>32</v>
      </c>
      <c r="J81" s="8" t="s">
        <v>24</v>
      </c>
      <c r="K81" s="27">
        <v>25910</v>
      </c>
      <c r="L81" s="8" t="s">
        <v>2</v>
      </c>
      <c r="M81" s="10">
        <v>46154</v>
      </c>
      <c r="N81" s="8" t="s">
        <v>111</v>
      </c>
      <c r="O81" s="10">
        <v>46160</v>
      </c>
      <c r="P81" s="8" t="s">
        <v>23</v>
      </c>
      <c r="Q81" s="10"/>
      <c r="R81" s="11">
        <v>8788.7000000000007</v>
      </c>
      <c r="S81" s="12">
        <v>0</v>
      </c>
      <c r="T81" s="11">
        <v>0</v>
      </c>
      <c r="U81" s="12">
        <v>0</v>
      </c>
      <c r="V81" s="12"/>
      <c r="W81" s="12"/>
      <c r="X81" s="8" t="s">
        <v>110</v>
      </c>
      <c r="Y81" s="28">
        <v>5681.27</v>
      </c>
    </row>
    <row r="82" spans="1:25" x14ac:dyDescent="0.2">
      <c r="A82" s="8" t="s">
        <v>17</v>
      </c>
      <c r="B82" s="8" t="s">
        <v>109</v>
      </c>
      <c r="C82" s="24" t="s">
        <v>117</v>
      </c>
      <c r="D82" s="10">
        <v>46154</v>
      </c>
      <c r="E82" s="10">
        <v>46177</v>
      </c>
      <c r="F82" s="9">
        <f>E82-D82</f>
        <v>23</v>
      </c>
      <c r="G82" s="9" t="s">
        <v>199</v>
      </c>
      <c r="H82" s="8" t="s">
        <v>149</v>
      </c>
      <c r="I82" s="22" t="s">
        <v>32</v>
      </c>
      <c r="J82" s="8" t="s">
        <v>24</v>
      </c>
      <c r="K82" s="27">
        <v>25910</v>
      </c>
      <c r="L82" s="8" t="s">
        <v>2</v>
      </c>
      <c r="M82" s="10">
        <v>46154</v>
      </c>
      <c r="N82" s="8" t="s">
        <v>111</v>
      </c>
      <c r="O82" s="10">
        <v>46160</v>
      </c>
      <c r="P82" s="8" t="s">
        <v>149</v>
      </c>
      <c r="Q82" s="10"/>
      <c r="R82" s="11">
        <f>13142.86-7151.69</f>
        <v>5991.170000000001</v>
      </c>
      <c r="S82" s="12">
        <f>9154.23-7151.69</f>
        <v>2002.54</v>
      </c>
      <c r="T82" s="11">
        <f>6989.18-4191.65</f>
        <v>2797.5300000000007</v>
      </c>
      <c r="U82" s="12">
        <f>5120.61-4191.65</f>
        <v>928.96</v>
      </c>
      <c r="V82" s="12"/>
      <c r="W82" s="12"/>
      <c r="X82" s="8" t="s">
        <v>110</v>
      </c>
      <c r="Y82" s="28">
        <v>5681.27</v>
      </c>
    </row>
    <row r="83" spans="1:25" x14ac:dyDescent="0.2">
      <c r="A83" s="8" t="s">
        <v>17</v>
      </c>
      <c r="B83" s="8" t="s">
        <v>163</v>
      </c>
      <c r="C83" s="24" t="s">
        <v>164</v>
      </c>
      <c r="D83" s="10">
        <v>46160</v>
      </c>
      <c r="E83" s="10">
        <v>46179</v>
      </c>
      <c r="F83" s="9">
        <f>E83-D83</f>
        <v>19</v>
      </c>
      <c r="G83" s="9" t="s">
        <v>199</v>
      </c>
      <c r="H83" s="8" t="s">
        <v>329</v>
      </c>
      <c r="I83" s="9" t="s">
        <v>3</v>
      </c>
      <c r="J83" s="8" t="s">
        <v>148</v>
      </c>
      <c r="K83" s="27">
        <v>26960</v>
      </c>
      <c r="L83" s="8" t="s">
        <v>2</v>
      </c>
      <c r="M83" s="10">
        <v>46160</v>
      </c>
      <c r="N83" s="8" t="s">
        <v>50</v>
      </c>
      <c r="O83" s="10">
        <v>46174</v>
      </c>
      <c r="P83" s="8" t="s">
        <v>111</v>
      </c>
      <c r="Q83" s="10">
        <v>46163</v>
      </c>
      <c r="R83" s="11">
        <f>3058.03-2293.51</f>
        <v>764.52</v>
      </c>
      <c r="S83" s="12">
        <f>2547.15-2293.51</f>
        <v>253.63999999999987</v>
      </c>
      <c r="T83" s="11">
        <f>5677.37-3274.76</f>
        <v>2402.6099999999997</v>
      </c>
      <c r="U83" s="12">
        <f>4073.17-3274.76</f>
        <v>798.40999999999985</v>
      </c>
      <c r="V83" s="12">
        <f>13142.86-7151.69</f>
        <v>5991.170000000001</v>
      </c>
      <c r="W83" s="12">
        <f>9154.23-7151.63</f>
        <v>2002.5999999999995</v>
      </c>
      <c r="X83" s="8" t="s">
        <v>25</v>
      </c>
      <c r="Y83" s="28">
        <v>7599.62</v>
      </c>
    </row>
    <row r="84" spans="1:25" x14ac:dyDescent="0.2">
      <c r="A84" s="8" t="s">
        <v>17</v>
      </c>
      <c r="B84" s="8" t="s">
        <v>46</v>
      </c>
      <c r="C84" s="25" t="s">
        <v>88</v>
      </c>
      <c r="D84" s="10">
        <v>46160</v>
      </c>
      <c r="E84" s="10">
        <v>46182</v>
      </c>
      <c r="F84" s="9">
        <f>E84-D84</f>
        <v>22</v>
      </c>
      <c r="G84" s="9" t="s">
        <v>27</v>
      </c>
      <c r="H84" s="8" t="s">
        <v>329</v>
      </c>
      <c r="I84" s="9" t="s">
        <v>3</v>
      </c>
      <c r="J84" s="8" t="s">
        <v>24</v>
      </c>
      <c r="K84" s="27">
        <v>28830</v>
      </c>
      <c r="L84" s="8" t="s">
        <v>2</v>
      </c>
      <c r="M84" s="10">
        <v>46179</v>
      </c>
      <c r="N84" s="8" t="s">
        <v>166</v>
      </c>
      <c r="O84" s="10">
        <v>46173</v>
      </c>
      <c r="P84" s="8" t="s">
        <v>41</v>
      </c>
      <c r="Q84" s="10">
        <v>46160</v>
      </c>
      <c r="R84" s="11">
        <f>6984.95-5238.71</f>
        <v>1746.2399999999998</v>
      </c>
      <c r="S84" s="12">
        <f>5820.79-5238.71</f>
        <v>582.07999999999993</v>
      </c>
      <c r="T84" s="11">
        <f>4017.62-2357.58</f>
        <v>1660.04</v>
      </c>
      <c r="U84" s="12">
        <f>2910.39-2357.85</f>
        <v>552.54</v>
      </c>
      <c r="V84" s="12">
        <f>8792.88-4954.51</f>
        <v>3838.369999999999</v>
      </c>
      <c r="W84" s="12">
        <f>6248.33-4954.51</f>
        <v>1293.8199999999997</v>
      </c>
      <c r="X84" s="8" t="s">
        <v>25</v>
      </c>
      <c r="Y84" s="28">
        <v>7237.02</v>
      </c>
    </row>
    <row r="85" spans="1:25" x14ac:dyDescent="0.2">
      <c r="A85" s="8" t="s">
        <v>17</v>
      </c>
      <c r="B85" s="8" t="s">
        <v>37</v>
      </c>
      <c r="C85" s="26" t="s">
        <v>91</v>
      </c>
      <c r="D85" s="10">
        <v>46160</v>
      </c>
      <c r="E85" s="10">
        <v>46176</v>
      </c>
      <c r="F85" s="9">
        <f>E85-D85</f>
        <v>16</v>
      </c>
      <c r="G85" s="9" t="s">
        <v>27</v>
      </c>
      <c r="H85" s="8" t="s">
        <v>23</v>
      </c>
      <c r="I85" s="9" t="s">
        <v>32</v>
      </c>
      <c r="J85" s="8" t="s">
        <v>24</v>
      </c>
      <c r="K85" s="27">
        <v>23520</v>
      </c>
      <c r="L85" s="8" t="s">
        <v>125</v>
      </c>
      <c r="M85" s="10">
        <v>46173</v>
      </c>
      <c r="N85" s="8" t="s">
        <v>126</v>
      </c>
      <c r="O85" s="10">
        <v>46160</v>
      </c>
      <c r="P85" s="8" t="s">
        <v>23</v>
      </c>
      <c r="Q85" s="10"/>
      <c r="R85" s="11">
        <v>0</v>
      </c>
      <c r="S85" s="12">
        <v>0</v>
      </c>
      <c r="T85" s="11">
        <v>0</v>
      </c>
      <c r="U85" s="12">
        <v>0</v>
      </c>
      <c r="V85" s="12"/>
      <c r="W85" s="12"/>
      <c r="X85" s="8" t="s">
        <v>25</v>
      </c>
      <c r="Y85" s="28">
        <v>5473</v>
      </c>
    </row>
    <row r="86" spans="1:25" x14ac:dyDescent="0.2">
      <c r="A86" s="8" t="s">
        <v>17</v>
      </c>
      <c r="B86" s="8" t="s">
        <v>37</v>
      </c>
      <c r="C86" s="24" t="s">
        <v>91</v>
      </c>
      <c r="D86" s="10">
        <v>46160</v>
      </c>
      <c r="E86" s="10">
        <v>46176</v>
      </c>
      <c r="F86" s="9">
        <f>E86-D86</f>
        <v>16</v>
      </c>
      <c r="G86" s="9" t="s">
        <v>27</v>
      </c>
      <c r="H86" s="8" t="s">
        <v>149</v>
      </c>
      <c r="I86" s="9" t="s">
        <v>32</v>
      </c>
      <c r="J86" s="8" t="s">
        <v>24</v>
      </c>
      <c r="K86" s="27">
        <v>23520</v>
      </c>
      <c r="L86" s="8" t="s">
        <v>125</v>
      </c>
      <c r="M86" s="10">
        <v>46173</v>
      </c>
      <c r="N86" s="8" t="s">
        <v>126</v>
      </c>
      <c r="O86" s="10">
        <v>46160</v>
      </c>
      <c r="P86" s="8" t="s">
        <v>149</v>
      </c>
      <c r="Q86" s="10"/>
      <c r="R86" s="11">
        <f>10143.14-5655.39</f>
        <v>4487.7499999999991</v>
      </c>
      <c r="S86" s="12">
        <f>7151.21-5655.39</f>
        <v>1495.8199999999997</v>
      </c>
      <c r="T86" s="11">
        <f>3853.05-2102.05</f>
        <v>1751</v>
      </c>
      <c r="U86" s="12">
        <f>2685.68-2102.05</f>
        <v>583.62999999999965</v>
      </c>
      <c r="V86" s="12"/>
      <c r="W86" s="12"/>
      <c r="X86" s="8" t="s">
        <v>25</v>
      </c>
      <c r="Y86" s="28">
        <v>7599.62</v>
      </c>
    </row>
    <row r="87" spans="1:25" x14ac:dyDescent="0.2">
      <c r="A87" s="8" t="s">
        <v>17</v>
      </c>
      <c r="B87" s="8" t="s">
        <v>44</v>
      </c>
      <c r="C87" s="26" t="s">
        <v>90</v>
      </c>
      <c r="D87" s="10">
        <v>46160</v>
      </c>
      <c r="E87" s="10">
        <v>46182</v>
      </c>
      <c r="F87" s="9">
        <f>E87-D87</f>
        <v>22</v>
      </c>
      <c r="G87" s="9" t="s">
        <v>27</v>
      </c>
      <c r="H87" s="8" t="s">
        <v>23</v>
      </c>
      <c r="I87" s="9" t="s">
        <v>32</v>
      </c>
      <c r="J87" s="8" t="s">
        <v>24</v>
      </c>
      <c r="K87" s="27">
        <v>23225</v>
      </c>
      <c r="L87" s="8" t="s">
        <v>125</v>
      </c>
      <c r="M87" s="10">
        <v>46179</v>
      </c>
      <c r="N87" s="8" t="s">
        <v>47</v>
      </c>
      <c r="O87" s="10">
        <v>46160</v>
      </c>
      <c r="P87" s="8" t="s">
        <v>23</v>
      </c>
      <c r="Q87" s="10"/>
      <c r="R87" s="11">
        <v>0</v>
      </c>
      <c r="S87" s="12">
        <v>0</v>
      </c>
      <c r="T87" s="11">
        <v>0</v>
      </c>
      <c r="U87" s="12">
        <v>0</v>
      </c>
      <c r="V87" s="12"/>
      <c r="W87" s="12"/>
      <c r="X87" s="8" t="s">
        <v>25</v>
      </c>
      <c r="Y87" s="28">
        <v>7238</v>
      </c>
    </row>
    <row r="88" spans="1:25" x14ac:dyDescent="0.2">
      <c r="A88" s="8" t="s">
        <v>17</v>
      </c>
      <c r="B88" s="8" t="s">
        <v>44</v>
      </c>
      <c r="C88" s="24" t="s">
        <v>90</v>
      </c>
      <c r="D88" s="10">
        <v>46160</v>
      </c>
      <c r="E88" s="10">
        <v>46182</v>
      </c>
      <c r="F88" s="9">
        <f>E88-D88</f>
        <v>22</v>
      </c>
      <c r="G88" s="9" t="s">
        <v>27</v>
      </c>
      <c r="H88" s="8" t="s">
        <v>149</v>
      </c>
      <c r="I88" s="9" t="s">
        <v>32</v>
      </c>
      <c r="J88" s="8" t="s">
        <v>24</v>
      </c>
      <c r="K88" s="27">
        <v>23225</v>
      </c>
      <c r="L88" s="8" t="s">
        <v>125</v>
      </c>
      <c r="M88" s="10">
        <v>46179</v>
      </c>
      <c r="N88" s="8" t="s">
        <v>47</v>
      </c>
      <c r="O88" s="10">
        <v>46160</v>
      </c>
      <c r="P88" s="8" t="s">
        <v>149</v>
      </c>
      <c r="Q88" s="10"/>
      <c r="R88" s="11">
        <f>10671.9-5950.24</f>
        <v>4721.66</v>
      </c>
      <c r="S88" s="12">
        <f>7532.21-5950.24</f>
        <v>1581.9700000000003</v>
      </c>
      <c r="T88" s="11">
        <f>2102.05-1226.55</f>
        <v>875.50000000000023</v>
      </c>
      <c r="U88" s="12">
        <f>1518.4-1226.55</f>
        <v>291.85000000000014</v>
      </c>
      <c r="V88" s="12"/>
      <c r="W88" s="12"/>
      <c r="X88" s="8" t="s">
        <v>25</v>
      </c>
      <c r="Y88" s="28">
        <v>7237.02</v>
      </c>
    </row>
    <row r="89" spans="1:25" x14ac:dyDescent="0.2">
      <c r="A89" s="8" t="s">
        <v>17</v>
      </c>
      <c r="B89" s="8" t="s">
        <v>106</v>
      </c>
      <c r="C89" s="25" t="s">
        <v>115</v>
      </c>
      <c r="D89" s="10">
        <v>46157</v>
      </c>
      <c r="E89" s="10">
        <v>46176</v>
      </c>
      <c r="F89" s="9">
        <f>E89-D89</f>
        <v>19</v>
      </c>
      <c r="G89" s="9" t="s">
        <v>199</v>
      </c>
      <c r="H89" s="8" t="s">
        <v>149</v>
      </c>
      <c r="I89" s="9" t="s">
        <v>32</v>
      </c>
      <c r="J89" s="8" t="s">
        <v>24</v>
      </c>
      <c r="K89" s="27">
        <v>22790.01</v>
      </c>
      <c r="L89" s="8" t="s">
        <v>107</v>
      </c>
      <c r="M89" s="10">
        <v>46157</v>
      </c>
      <c r="N89" s="8" t="s">
        <v>41</v>
      </c>
      <c r="O89" s="10">
        <v>46160</v>
      </c>
      <c r="P89" s="8" t="s">
        <v>149</v>
      </c>
      <c r="Q89" s="8"/>
      <c r="R89" s="11">
        <v>4359.91</v>
      </c>
      <c r="S89" s="12">
        <v>0</v>
      </c>
      <c r="T89" s="11">
        <v>0</v>
      </c>
      <c r="U89" s="12">
        <v>0</v>
      </c>
      <c r="V89" s="12"/>
      <c r="W89" s="12"/>
      <c r="X89" s="8" t="s">
        <v>25</v>
      </c>
      <c r="Y89" s="28">
        <v>7327.12</v>
      </c>
    </row>
    <row r="90" spans="1:25" x14ac:dyDescent="0.2">
      <c r="A90" s="8" t="s">
        <v>17</v>
      </c>
      <c r="B90" s="8" t="s">
        <v>106</v>
      </c>
      <c r="C90" s="24" t="s">
        <v>115</v>
      </c>
      <c r="D90" s="10">
        <v>46157</v>
      </c>
      <c r="E90" s="10">
        <v>46176</v>
      </c>
      <c r="F90" s="9">
        <f>E90-D90</f>
        <v>19</v>
      </c>
      <c r="G90" s="9" t="s">
        <v>199</v>
      </c>
      <c r="H90" s="8" t="s">
        <v>149</v>
      </c>
      <c r="I90" s="9" t="s">
        <v>32</v>
      </c>
      <c r="J90" s="8" t="s">
        <v>24</v>
      </c>
      <c r="K90" s="27">
        <v>22790.01</v>
      </c>
      <c r="L90" s="8" t="s">
        <v>107</v>
      </c>
      <c r="M90" s="10">
        <v>46157</v>
      </c>
      <c r="N90" s="8" t="s">
        <v>41</v>
      </c>
      <c r="O90" s="10">
        <v>46160</v>
      </c>
      <c r="P90" s="8" t="s">
        <v>149</v>
      </c>
      <c r="Q90" s="10"/>
      <c r="R90" s="11">
        <f>8792.88-4954.51</f>
        <v>3838.369999999999</v>
      </c>
      <c r="S90" s="12">
        <f>6248.33-4954.51</f>
        <v>1293.8199999999997</v>
      </c>
      <c r="T90" s="11">
        <f>1287.61-766.07</f>
        <v>521.53999999999985</v>
      </c>
      <c r="U90" s="12">
        <f>932.26-766.07</f>
        <v>166.18999999999994</v>
      </c>
      <c r="V90" s="12"/>
      <c r="W90" s="12"/>
      <c r="X90" s="8" t="s">
        <v>25</v>
      </c>
      <c r="Y90" s="28">
        <v>7327.12</v>
      </c>
    </row>
    <row r="91" spans="1:25" x14ac:dyDescent="0.2">
      <c r="A91" s="8" t="s">
        <v>17</v>
      </c>
      <c r="B91" s="8" t="s">
        <v>108</v>
      </c>
      <c r="C91" s="25" t="s">
        <v>116</v>
      </c>
      <c r="D91" s="10">
        <v>46157</v>
      </c>
      <c r="E91" s="10">
        <v>46176</v>
      </c>
      <c r="F91" s="9">
        <f>E91-D91</f>
        <v>19</v>
      </c>
      <c r="G91" s="9" t="s">
        <v>199</v>
      </c>
      <c r="H91" s="8" t="s">
        <v>149</v>
      </c>
      <c r="I91" s="9" t="s">
        <v>32</v>
      </c>
      <c r="J91" s="8" t="s">
        <v>24</v>
      </c>
      <c r="K91" s="27">
        <v>22790.01</v>
      </c>
      <c r="L91" s="8" t="s">
        <v>107</v>
      </c>
      <c r="M91" s="10">
        <v>46157</v>
      </c>
      <c r="N91" s="8" t="s">
        <v>41</v>
      </c>
      <c r="O91" s="10">
        <v>46160</v>
      </c>
      <c r="P91" s="8" t="s">
        <v>149</v>
      </c>
      <c r="Q91" s="10"/>
      <c r="R91" s="11">
        <v>0</v>
      </c>
      <c r="S91" s="12">
        <v>0</v>
      </c>
      <c r="T91" s="11">
        <v>0</v>
      </c>
      <c r="U91" s="12">
        <v>0</v>
      </c>
      <c r="V91" s="12"/>
      <c r="W91" s="12"/>
      <c r="X91" s="8" t="s">
        <v>25</v>
      </c>
      <c r="Y91" s="28">
        <v>7327.12</v>
      </c>
    </row>
    <row r="92" spans="1:25" x14ac:dyDescent="0.2">
      <c r="A92" s="8" t="s">
        <v>17</v>
      </c>
      <c r="B92" s="8" t="s">
        <v>108</v>
      </c>
      <c r="C92" s="24" t="s">
        <v>116</v>
      </c>
      <c r="D92" s="10">
        <v>46157</v>
      </c>
      <c r="E92" s="10">
        <v>46176</v>
      </c>
      <c r="F92" s="9">
        <f>E92-D92</f>
        <v>19</v>
      </c>
      <c r="G92" s="9" t="s">
        <v>199</v>
      </c>
      <c r="H92" s="8" t="s">
        <v>149</v>
      </c>
      <c r="I92" s="9" t="s">
        <v>32</v>
      </c>
      <c r="J92" s="8" t="s">
        <v>24</v>
      </c>
      <c r="K92" s="27">
        <v>22790.01</v>
      </c>
      <c r="L92" s="8" t="s">
        <v>107</v>
      </c>
      <c r="M92" s="10">
        <v>46157</v>
      </c>
      <c r="N92" s="8" t="s">
        <v>41</v>
      </c>
      <c r="O92" s="10">
        <v>46160</v>
      </c>
      <c r="P92" s="8" t="s">
        <v>149</v>
      </c>
      <c r="Q92" s="10"/>
      <c r="R92" s="11">
        <v>0</v>
      </c>
      <c r="S92" s="12">
        <v>0</v>
      </c>
      <c r="T92" s="11">
        <v>0</v>
      </c>
      <c r="U92" s="12">
        <v>0</v>
      </c>
      <c r="V92" s="12"/>
      <c r="W92" s="12"/>
      <c r="X92" s="8" t="s">
        <v>25</v>
      </c>
      <c r="Y92" s="28">
        <v>7327.12</v>
      </c>
    </row>
    <row r="93" spans="1:25" x14ac:dyDescent="0.2">
      <c r="A93" s="8" t="s">
        <v>17</v>
      </c>
      <c r="B93" s="8" t="s">
        <v>39</v>
      </c>
      <c r="C93" s="25" t="s">
        <v>86</v>
      </c>
      <c r="D93" s="10">
        <v>46160</v>
      </c>
      <c r="E93" s="10">
        <v>46176</v>
      </c>
      <c r="F93" s="9">
        <f>E93-D93</f>
        <v>16</v>
      </c>
      <c r="G93" s="9" t="s">
        <v>27</v>
      </c>
      <c r="H93" s="8" t="s">
        <v>149</v>
      </c>
      <c r="I93" s="9" t="s">
        <v>32</v>
      </c>
      <c r="J93" s="8" t="s">
        <v>24</v>
      </c>
      <c r="K93" s="27">
        <v>23935</v>
      </c>
      <c r="L93" s="8" t="s">
        <v>40</v>
      </c>
      <c r="M93" s="10">
        <v>46173</v>
      </c>
      <c r="N93" s="8" t="s">
        <v>41</v>
      </c>
      <c r="O93" s="10">
        <v>46160</v>
      </c>
      <c r="P93" s="8" t="s">
        <v>149</v>
      </c>
      <c r="Q93" s="8"/>
      <c r="R93" s="11">
        <f>8792.88-4954.51</f>
        <v>3838.369999999999</v>
      </c>
      <c r="S93" s="12">
        <f>6248.33-4954.51</f>
        <v>1293.8199999999997</v>
      </c>
      <c r="T93" s="11">
        <f>4885.49-2890.81</f>
        <v>1994.6799999999998</v>
      </c>
      <c r="U93" s="12">
        <f>3579.12-2890.81</f>
        <v>688.31</v>
      </c>
      <c r="V93" s="12"/>
      <c r="W93" s="12"/>
      <c r="X93" s="8" t="s">
        <v>25</v>
      </c>
      <c r="Y93" s="28">
        <v>7600</v>
      </c>
    </row>
    <row r="94" spans="1:25" x14ac:dyDescent="0.2">
      <c r="A94" s="8" t="s">
        <v>17</v>
      </c>
      <c r="B94" s="8" t="s">
        <v>48</v>
      </c>
      <c r="C94" s="25" t="s">
        <v>92</v>
      </c>
      <c r="D94" s="10">
        <v>46160</v>
      </c>
      <c r="E94" s="10">
        <v>46174</v>
      </c>
      <c r="F94" s="9">
        <f>E94-D94</f>
        <v>14</v>
      </c>
      <c r="G94" s="9" t="s">
        <v>199</v>
      </c>
      <c r="H94" s="8" t="s">
        <v>23</v>
      </c>
      <c r="I94" s="9" t="s">
        <v>32</v>
      </c>
      <c r="J94" s="8" t="s">
        <v>24</v>
      </c>
      <c r="K94" s="27">
        <v>24335</v>
      </c>
      <c r="L94" s="8" t="s">
        <v>2</v>
      </c>
      <c r="M94" s="10">
        <v>46160</v>
      </c>
      <c r="N94" s="8" t="s">
        <v>47</v>
      </c>
      <c r="O94" s="10">
        <v>46163</v>
      </c>
      <c r="P94" s="8" t="s">
        <v>23</v>
      </c>
      <c r="Q94" s="10"/>
      <c r="R94" s="11">
        <v>0</v>
      </c>
      <c r="S94" s="12">
        <v>0</v>
      </c>
      <c r="T94" s="11">
        <v>0</v>
      </c>
      <c r="U94" s="12">
        <v>0</v>
      </c>
      <c r="V94" s="12"/>
      <c r="W94" s="12"/>
      <c r="X94" s="8" t="s">
        <v>25</v>
      </c>
      <c r="Y94" s="28">
        <v>7600</v>
      </c>
    </row>
    <row r="95" spans="1:25" x14ac:dyDescent="0.2">
      <c r="A95" s="8" t="s">
        <v>17</v>
      </c>
      <c r="B95" s="8" t="s">
        <v>49</v>
      </c>
      <c r="C95" s="25" t="s">
        <v>87</v>
      </c>
      <c r="D95" s="10">
        <v>46160</v>
      </c>
      <c r="E95" s="10">
        <v>46174</v>
      </c>
      <c r="F95" s="9">
        <f>E95-D95</f>
        <v>14</v>
      </c>
      <c r="G95" s="9" t="s">
        <v>199</v>
      </c>
      <c r="H95" s="8" t="s">
        <v>23</v>
      </c>
      <c r="I95" s="9" t="s">
        <v>32</v>
      </c>
      <c r="J95" s="8" t="s">
        <v>24</v>
      </c>
      <c r="K95" s="27">
        <v>24335</v>
      </c>
      <c r="L95" s="8" t="s">
        <v>2</v>
      </c>
      <c r="M95" s="10">
        <v>46160</v>
      </c>
      <c r="N95" s="8" t="s">
        <v>47</v>
      </c>
      <c r="O95" s="10">
        <v>46163</v>
      </c>
      <c r="P95" s="8" t="s">
        <v>23</v>
      </c>
      <c r="Q95" s="10"/>
      <c r="R95" s="11">
        <v>0</v>
      </c>
      <c r="S95" s="12">
        <v>0</v>
      </c>
      <c r="T95" s="11">
        <v>0</v>
      </c>
      <c r="U95" s="12">
        <v>0</v>
      </c>
      <c r="V95" s="12"/>
      <c r="W95" s="12"/>
      <c r="X95" s="8" t="s">
        <v>25</v>
      </c>
      <c r="Y95" s="28">
        <v>7600</v>
      </c>
    </row>
    <row r="96" spans="1:25" x14ac:dyDescent="0.2">
      <c r="A96" s="8" t="s">
        <v>17</v>
      </c>
      <c r="B96" s="8" t="s">
        <v>15</v>
      </c>
      <c r="C96" s="26" t="s">
        <v>29</v>
      </c>
      <c r="D96" s="19">
        <v>46163</v>
      </c>
      <c r="E96" s="19">
        <v>46179</v>
      </c>
      <c r="F96" s="9">
        <f>E96-D96</f>
        <v>16</v>
      </c>
      <c r="G96" s="9" t="s">
        <v>199</v>
      </c>
      <c r="H96" s="8" t="s">
        <v>329</v>
      </c>
      <c r="I96" s="9" t="s">
        <v>3</v>
      </c>
      <c r="J96" s="8" t="s">
        <v>24</v>
      </c>
      <c r="K96" s="27">
        <v>25691.84</v>
      </c>
      <c r="L96" s="8" t="s">
        <v>26</v>
      </c>
      <c r="M96" s="10">
        <v>46163</v>
      </c>
      <c r="N96" s="8" t="s">
        <v>36</v>
      </c>
      <c r="O96" s="10">
        <v>46174</v>
      </c>
      <c r="P96" s="8" t="s">
        <v>28</v>
      </c>
      <c r="Q96" s="10">
        <v>46166</v>
      </c>
      <c r="R96" s="11">
        <v>0</v>
      </c>
      <c r="S96" s="12">
        <v>0</v>
      </c>
      <c r="T96" s="11">
        <v>0</v>
      </c>
      <c r="U96" s="12">
        <v>0</v>
      </c>
      <c r="V96" s="12">
        <v>0</v>
      </c>
      <c r="W96" s="12">
        <v>0</v>
      </c>
      <c r="X96" s="8" t="s">
        <v>25</v>
      </c>
      <c r="Y96" s="28">
        <v>11348.31</v>
      </c>
    </row>
    <row r="97" spans="1:25" x14ac:dyDescent="0.2">
      <c r="A97" s="8" t="s">
        <v>17</v>
      </c>
      <c r="B97" s="8" t="s">
        <v>255</v>
      </c>
      <c r="C97" s="26" t="s">
        <v>287</v>
      </c>
      <c r="D97" s="19">
        <v>46159</v>
      </c>
      <c r="E97" s="19">
        <v>46175</v>
      </c>
      <c r="F97" s="9">
        <f>E97-D97</f>
        <v>16</v>
      </c>
      <c r="G97" s="9" t="s">
        <v>199</v>
      </c>
      <c r="H97" s="8" t="s">
        <v>23</v>
      </c>
      <c r="I97" s="9" t="s">
        <v>32</v>
      </c>
      <c r="J97" s="8" t="s">
        <v>24</v>
      </c>
      <c r="K97" s="27">
        <v>25869.68</v>
      </c>
      <c r="L97" s="8" t="s">
        <v>307</v>
      </c>
      <c r="M97" s="10">
        <v>46159</v>
      </c>
      <c r="N97" s="8" t="s">
        <v>315</v>
      </c>
      <c r="O97" s="10">
        <v>46162</v>
      </c>
      <c r="P97" s="8" t="s">
        <v>23</v>
      </c>
      <c r="Q97" s="10"/>
      <c r="R97" s="11">
        <v>0</v>
      </c>
      <c r="S97" s="12">
        <v>0</v>
      </c>
      <c r="T97" s="11">
        <v>0</v>
      </c>
      <c r="U97" s="12">
        <v>0</v>
      </c>
      <c r="V97" s="12"/>
      <c r="W97" s="12"/>
      <c r="X97" s="8" t="s">
        <v>327</v>
      </c>
      <c r="Y97" s="28">
        <v>11158.66</v>
      </c>
    </row>
    <row r="98" spans="1:25" x14ac:dyDescent="0.2">
      <c r="A98" s="8" t="s">
        <v>17</v>
      </c>
      <c r="B98" s="8" t="s">
        <v>257</v>
      </c>
      <c r="C98" s="26" t="s">
        <v>289</v>
      </c>
      <c r="D98" s="19">
        <v>46162</v>
      </c>
      <c r="E98" s="19">
        <v>46178</v>
      </c>
      <c r="F98" s="9">
        <f>E98-D98</f>
        <v>16</v>
      </c>
      <c r="G98" s="9" t="s">
        <v>199</v>
      </c>
      <c r="H98" s="8" t="s">
        <v>23</v>
      </c>
      <c r="I98" s="9" t="s">
        <v>32</v>
      </c>
      <c r="J98" s="8" t="s">
        <v>24</v>
      </c>
      <c r="K98" s="27">
        <v>23740.59</v>
      </c>
      <c r="L98" s="8" t="s">
        <v>317</v>
      </c>
      <c r="M98" s="10">
        <v>46162</v>
      </c>
      <c r="N98" s="8" t="s">
        <v>318</v>
      </c>
      <c r="O98" s="10">
        <v>46165</v>
      </c>
      <c r="P98" s="8" t="s">
        <v>23</v>
      </c>
      <c r="Q98" s="10"/>
      <c r="R98" s="11">
        <v>770.84</v>
      </c>
      <c r="S98" s="12">
        <v>0</v>
      </c>
      <c r="T98" s="11">
        <v>1576.48</v>
      </c>
      <c r="U98" s="12">
        <v>0</v>
      </c>
      <c r="V98" s="12"/>
      <c r="W98" s="12"/>
      <c r="X98" s="8" t="s">
        <v>326</v>
      </c>
      <c r="Y98" s="28">
        <v>0</v>
      </c>
    </row>
    <row r="99" spans="1:25" x14ac:dyDescent="0.2">
      <c r="A99" s="8" t="s">
        <v>17</v>
      </c>
      <c r="B99" s="8" t="s">
        <v>262</v>
      </c>
      <c r="C99" s="26" t="s">
        <v>292</v>
      </c>
      <c r="D99" s="19">
        <v>46156</v>
      </c>
      <c r="E99" s="19">
        <v>46174</v>
      </c>
      <c r="F99" s="9">
        <f>E99-D99</f>
        <v>18</v>
      </c>
      <c r="G99" s="9" t="s">
        <v>199</v>
      </c>
      <c r="H99" s="8" t="s">
        <v>23</v>
      </c>
      <c r="I99" s="9" t="s">
        <v>32</v>
      </c>
      <c r="J99" s="8" t="s">
        <v>24</v>
      </c>
      <c r="K99" s="27">
        <v>26259.89</v>
      </c>
      <c r="L99" s="8" t="s">
        <v>307</v>
      </c>
      <c r="M99" s="10">
        <v>46156</v>
      </c>
      <c r="N99" s="8" t="s">
        <v>321</v>
      </c>
      <c r="O99" s="10">
        <v>46159</v>
      </c>
      <c r="P99" s="8" t="s">
        <v>23</v>
      </c>
      <c r="Q99" s="10"/>
      <c r="R99" s="11">
        <v>0</v>
      </c>
      <c r="S99" s="12">
        <v>0</v>
      </c>
      <c r="T99" s="11">
        <v>0</v>
      </c>
      <c r="U99" s="12">
        <v>0</v>
      </c>
      <c r="V99" s="12"/>
      <c r="W99" s="12"/>
      <c r="X99" s="8" t="s">
        <v>326</v>
      </c>
      <c r="Y99" s="28">
        <v>0</v>
      </c>
    </row>
    <row r="100" spans="1:25" x14ac:dyDescent="0.2">
      <c r="A100" s="8" t="s">
        <v>17</v>
      </c>
      <c r="B100" s="8" t="s">
        <v>159</v>
      </c>
      <c r="C100" s="24" t="s">
        <v>160</v>
      </c>
      <c r="D100" s="10">
        <v>46160</v>
      </c>
      <c r="E100" s="10">
        <v>46174</v>
      </c>
      <c r="F100" s="9">
        <f>E100-D100</f>
        <v>14</v>
      </c>
      <c r="G100" s="9" t="s">
        <v>199</v>
      </c>
      <c r="H100" s="8" t="s">
        <v>149</v>
      </c>
      <c r="I100" s="9" t="s">
        <v>32</v>
      </c>
      <c r="J100" s="8" t="s">
        <v>24</v>
      </c>
      <c r="K100" s="27">
        <v>25000</v>
      </c>
      <c r="L100" s="8" t="s">
        <v>161</v>
      </c>
      <c r="M100" s="10">
        <v>46160</v>
      </c>
      <c r="N100" s="8" t="s">
        <v>162</v>
      </c>
      <c r="O100" s="10">
        <v>46163</v>
      </c>
      <c r="P100" s="8" t="s">
        <v>149</v>
      </c>
      <c r="Q100" s="10"/>
      <c r="R100" s="11">
        <v>0</v>
      </c>
      <c r="S100" s="12">
        <f>8915.91-8911.76</f>
        <v>4.1499999999996362</v>
      </c>
      <c r="T100" s="11">
        <f>326483-2203.82</f>
        <v>324279.18</v>
      </c>
      <c r="U100" s="12">
        <f>2720.38-2203.82</f>
        <v>516.55999999999995</v>
      </c>
      <c r="V100" s="12"/>
      <c r="W100" s="12"/>
      <c r="X100" s="8" t="s">
        <v>25</v>
      </c>
      <c r="Y100" s="28">
        <v>9986.98</v>
      </c>
    </row>
    <row r="101" spans="1:25" x14ac:dyDescent="0.2">
      <c r="A101" s="8" t="s">
        <v>17</v>
      </c>
      <c r="B101" s="8" t="s">
        <v>112</v>
      </c>
      <c r="C101" s="25" t="s">
        <v>113</v>
      </c>
      <c r="D101" s="10">
        <v>46163</v>
      </c>
      <c r="E101" s="10">
        <v>46173</v>
      </c>
      <c r="F101" s="9">
        <f>E101-D101</f>
        <v>10</v>
      </c>
      <c r="G101" s="9" t="s">
        <v>199</v>
      </c>
      <c r="H101" s="8" t="s">
        <v>23</v>
      </c>
      <c r="I101" s="9" t="s">
        <v>3</v>
      </c>
      <c r="J101" s="8" t="s">
        <v>148</v>
      </c>
      <c r="K101" s="27">
        <v>36030</v>
      </c>
      <c r="L101" s="8" t="s">
        <v>121</v>
      </c>
      <c r="M101" s="10">
        <v>46163</v>
      </c>
      <c r="N101" s="8" t="s">
        <v>114</v>
      </c>
      <c r="O101" s="10">
        <v>46166</v>
      </c>
      <c r="P101" s="8" t="s">
        <v>23</v>
      </c>
      <c r="Q101" s="10"/>
      <c r="R101" s="11">
        <f>31380.91-18544.61</f>
        <v>12836.3</v>
      </c>
      <c r="S101" s="12">
        <f>22823.39-18544.61</f>
        <v>4278.7799999999988</v>
      </c>
      <c r="T101" s="11">
        <f>5239.72-3493.16</f>
        <v>1746.5600000000004</v>
      </c>
      <c r="U101" s="12">
        <f>4075.32-3493.16</f>
        <v>582.16000000000031</v>
      </c>
      <c r="V101" s="12"/>
      <c r="W101" s="12"/>
      <c r="X101" s="8" t="s">
        <v>25</v>
      </c>
      <c r="Y101" s="28">
        <v>8793.85</v>
      </c>
    </row>
    <row r="102" spans="1:25" x14ac:dyDescent="0.2">
      <c r="A102" s="8" t="s">
        <v>17</v>
      </c>
      <c r="B102" s="8" t="s">
        <v>45</v>
      </c>
      <c r="C102" s="24" t="s">
        <v>165</v>
      </c>
      <c r="D102" s="10">
        <v>46160</v>
      </c>
      <c r="E102" s="10">
        <v>46182</v>
      </c>
      <c r="F102" s="9">
        <f>E102-D102</f>
        <v>22</v>
      </c>
      <c r="G102" s="9" t="s">
        <v>27</v>
      </c>
      <c r="H102" s="8" t="s">
        <v>23</v>
      </c>
      <c r="I102" s="9" t="s">
        <v>31</v>
      </c>
      <c r="J102" s="8" t="s">
        <v>24</v>
      </c>
      <c r="K102" s="27">
        <v>27060</v>
      </c>
      <c r="L102" s="8" t="s">
        <v>2</v>
      </c>
      <c r="M102" s="10">
        <v>46179</v>
      </c>
      <c r="N102" s="8" t="s">
        <v>43</v>
      </c>
      <c r="O102" s="10">
        <v>46160</v>
      </c>
      <c r="P102" s="8" t="s">
        <v>23</v>
      </c>
      <c r="Q102" s="10"/>
      <c r="R102" s="11">
        <v>0</v>
      </c>
      <c r="S102" s="12">
        <v>0</v>
      </c>
      <c r="T102" s="11">
        <v>0</v>
      </c>
      <c r="U102" s="12">
        <v>0</v>
      </c>
      <c r="V102" s="12"/>
      <c r="W102" s="12"/>
      <c r="X102" s="8" t="s">
        <v>25</v>
      </c>
      <c r="Y102" s="28">
        <v>7237.02</v>
      </c>
    </row>
    <row r="103" spans="1:25" x14ac:dyDescent="0.2">
      <c r="A103" s="8" t="s">
        <v>17</v>
      </c>
      <c r="B103" s="8" t="s">
        <v>42</v>
      </c>
      <c r="C103" s="25" t="s">
        <v>93</v>
      </c>
      <c r="D103" s="10">
        <v>46161</v>
      </c>
      <c r="E103" s="10">
        <v>46176</v>
      </c>
      <c r="F103" s="9">
        <f>E103-D103</f>
        <v>15</v>
      </c>
      <c r="G103" s="9" t="s">
        <v>27</v>
      </c>
      <c r="H103" s="8" t="s">
        <v>23</v>
      </c>
      <c r="I103" s="9" t="s">
        <v>31</v>
      </c>
      <c r="J103" s="8" t="s">
        <v>24</v>
      </c>
      <c r="K103" s="27">
        <v>27975</v>
      </c>
      <c r="L103" s="8" t="s">
        <v>2</v>
      </c>
      <c r="M103" s="10">
        <v>46173</v>
      </c>
      <c r="N103" s="8" t="s">
        <v>43</v>
      </c>
      <c r="O103" s="10">
        <v>46161</v>
      </c>
      <c r="P103" s="8" t="s">
        <v>23</v>
      </c>
      <c r="Q103" s="10"/>
      <c r="R103" s="11">
        <v>0</v>
      </c>
      <c r="S103" s="12">
        <v>0</v>
      </c>
      <c r="T103" s="11">
        <v>0</v>
      </c>
      <c r="U103" s="12">
        <v>0</v>
      </c>
      <c r="V103" s="12"/>
      <c r="W103" s="12"/>
      <c r="X103" s="8" t="s">
        <v>25</v>
      </c>
      <c r="Y103" s="28">
        <v>7599.62</v>
      </c>
    </row>
  </sheetData>
  <autoFilter ref="A1:Y103" xr:uid="{9C26820D-81C0-6849-B92E-D65DC21B0CEF}"/>
  <hyperlinks>
    <hyperlink ref="C96" r:id="rId1" xr:uid="{7F29B688-CE9B-0948-BFB8-0BCBF6F90D17}"/>
    <hyperlink ref="C67" r:id="rId2" xr:uid="{7F158F42-9DCB-9240-8798-00B9B57C8915}"/>
    <hyperlink ref="C97" r:id="rId3" xr:uid="{9BDAFDA6-5211-8844-87C5-516C4A16D307}"/>
    <hyperlink ref="C71" r:id="rId4" xr:uid="{C032A524-1E71-A64C-BE09-87A012791956}"/>
    <hyperlink ref="C72" r:id="rId5" xr:uid="{B9D81C0C-1E6B-5444-868D-CD2AF99199F3}"/>
    <hyperlink ref="C73" r:id="rId6" xr:uid="{50B00E53-06A9-7746-ACAF-05C58A2B002B}"/>
    <hyperlink ref="C74" r:id="rId7" xr:uid="{4A2728C4-FA2E-8242-AAB8-E76EB89582A5}"/>
    <hyperlink ref="C98" r:id="rId8" xr:uid="{E095F25B-014E-BA40-84B8-C9F9A15B25F4}"/>
    <hyperlink ref="C75" r:id="rId9" xr:uid="{90845729-C2C1-1144-823C-698C2FFE5DB8}"/>
    <hyperlink ref="C99" r:id="rId10" xr:uid="{8099C143-A2EB-C943-97ED-7815735A6E66}"/>
    <hyperlink ref="C77" r:id="rId11" xr:uid="{4F174A4E-5708-FE48-AA50-A90496B2735F}"/>
    <hyperlink ref="C78" r:id="rId12" xr:uid="{D2C7E47E-030E-7D4C-9559-6FA248BA34CF}"/>
    <hyperlink ref="C65" r:id="rId13" xr:uid="{4A3B39B8-8556-0C4F-BB5B-FD65EADA2CF2}"/>
    <hyperlink ref="C18" r:id="rId14" xr:uid="{F49143E8-B9AD-D94D-BE82-1F1880D8AF85}"/>
    <hyperlink ref="C3" r:id="rId15" xr:uid="{15233BD6-1439-9740-8E84-CDE1BBD7F7B8}"/>
    <hyperlink ref="C14" r:id="rId16" xr:uid="{3EEF04C4-72F2-A14C-AEAD-D9FCB4AE2800}"/>
    <hyperlink ref="C22" r:id="rId17" xr:uid="{649FF7DC-2742-EE4A-B776-06C9DBF3E421}"/>
    <hyperlink ref="C23" r:id="rId18" xr:uid="{BD3F3E8D-2FD6-D24E-B7AC-A0FEDAC40451}"/>
    <hyperlink ref="C9" r:id="rId19" xr:uid="{9AB3E085-C28E-9544-91C0-3F7E06947FE6}"/>
    <hyperlink ref="C21" r:id="rId20" xr:uid="{A0CEAB96-7E14-FB4D-B0E4-93CF07E86EC3}"/>
    <hyperlink ref="C12" r:id="rId21" xr:uid="{BA7FC5FE-9E50-484F-9EE4-99098DEA7C59}"/>
    <hyperlink ref="C10" r:id="rId22" xr:uid="{815DEDBF-DEBE-CA4B-B35F-F3F3384AE10D}"/>
    <hyperlink ref="C13" r:id="rId23" xr:uid="{ADFB65D8-FF72-1947-A0FE-F5264D9F94CF}"/>
    <hyperlink ref="C7" r:id="rId24" xr:uid="{9CAECC5E-5F67-DD4C-905F-E3555F1ED378}"/>
    <hyperlink ref="C17" r:id="rId25" xr:uid="{3FE5EB03-7A74-BA4D-986D-BD0B2DD4D3E5}"/>
    <hyperlink ref="C15" r:id="rId26" xr:uid="{9D8AC4A7-7814-B54A-ACAE-39183D84837C}"/>
    <hyperlink ref="C20" r:id="rId27" xr:uid="{46DC0266-3AEB-F94C-970C-9629E0ACB9CE}"/>
    <hyperlink ref="C19" r:id="rId28" xr:uid="{9D538F93-4BA4-1147-B82F-ADD4E2FB6927}"/>
    <hyperlink ref="C87" r:id="rId29" xr:uid="{276EF406-5311-0641-A022-3BFA17BA18FA}"/>
    <hyperlink ref="C85" r:id="rId30" xr:uid="{AF3E1A43-959E-8B48-B124-32956C9166EB}"/>
    <hyperlink ref="C89" r:id="rId31" xr:uid="{0839D0FD-0362-AD49-9CF3-F90BEEA1287D}"/>
    <hyperlink ref="C91" r:id="rId32" xr:uid="{18F7557B-63C9-CC4F-9BAE-DA76788EFFAC}"/>
    <hyperlink ref="C81" r:id="rId33" xr:uid="{CC73A978-377E-0C49-BC96-AEB62F587275}"/>
    <hyperlink ref="C45" r:id="rId34" xr:uid="{9316238A-3ABE-8F4F-BD21-F4D861314461}"/>
    <hyperlink ref="C46" r:id="rId35" xr:uid="{2E303334-0083-AB47-9468-464BCD71DADD}"/>
    <hyperlink ref="C24" r:id="rId36" xr:uid="{C80C8AE2-DCC7-064D-B092-A86246F867CB}"/>
    <hyperlink ref="C11" r:id="rId37" xr:uid="{F780EAAC-9CE7-AD4F-A37F-FC109A2195F8}"/>
    <hyperlink ref="C38" r:id="rId38" xr:uid="{161B6493-0F69-FA4B-817E-768DE42C0F5F}"/>
    <hyperlink ref="C31" r:id="rId39" xr:uid="{4FBF6925-AAEB-C94D-8659-1C05DA26D9BD}"/>
    <hyperlink ref="C34" r:id="rId40" xr:uid="{F291F4BC-0B6D-5042-8569-31EF1EB5B107}"/>
    <hyperlink ref="C93" r:id="rId41" xr:uid="{376656A4-05C9-614C-8CDE-C15A438D70A3}"/>
    <hyperlink ref="C94" r:id="rId42" xr:uid="{4E8A21F0-C9B6-C848-BEF7-B0E0ABD91B76}"/>
    <hyperlink ref="C95" r:id="rId43" xr:uid="{A7DE735C-F2D8-E149-9744-594E6E2504BF}"/>
    <hyperlink ref="C80" r:id="rId44" xr:uid="{C3E22308-74AD-8D4C-A3FC-A5A125D33C3C}"/>
    <hyperlink ref="C90" r:id="rId45" xr:uid="{913B7072-687B-2643-A68A-E538110FD006}"/>
    <hyperlink ref="C92" r:id="rId46" xr:uid="{262A887E-F7B0-BA4B-B7F0-0CAC57D738F3}"/>
    <hyperlink ref="C88" r:id="rId47" xr:uid="{2183FA8D-23A2-DD4F-871C-D86BBF85613E}"/>
    <hyperlink ref="C86" r:id="rId48" xr:uid="{7318735F-DB77-614D-8B7C-E702E4BF5F28}"/>
    <hyperlink ref="C100" r:id="rId49" xr:uid="{1E9139BF-C4AC-DF4F-897F-D9D0C82AF7F1}"/>
    <hyperlink ref="C82" r:id="rId50" xr:uid="{D7680AEC-E2C2-2342-816A-2B814FB6FDB6}"/>
    <hyperlink ref="C83" r:id="rId51" xr:uid="{316C695E-AE7B-824D-A74F-548638E96502}"/>
    <hyperlink ref="C102" r:id="rId52" xr:uid="{2CA63B7B-FAFD-1E4A-9181-08B6A7556BCC}"/>
    <hyperlink ref="C103" r:id="rId53" xr:uid="{1CE91E19-7D33-5346-A92B-B90915114A69}"/>
    <hyperlink ref="C84" r:id="rId54" xr:uid="{8EC51A41-BDF8-B442-9F20-450EEC8E23D4}"/>
    <hyperlink ref="C79" r:id="rId55" xr:uid="{A6B28E4F-8D3F-584E-A9C3-6CF02AAD29A8}"/>
    <hyperlink ref="C101" r:id="rId56" xr:uid="{A8A9EBF5-94BD-6A48-96EC-E476A05209E2}"/>
    <hyperlink ref="C44" r:id="rId57" xr:uid="{F091A12B-8272-D24F-9504-8F8A573387D7}"/>
    <hyperlink ref="C48" r:id="rId58" xr:uid="{336EC130-94A7-EF4E-BFAF-EEC95BA25105}"/>
    <hyperlink ref="C49" r:id="rId59" xr:uid="{40F0EA27-1813-2543-84AC-CA46AAAEAD6D}"/>
    <hyperlink ref="C43" r:id="rId60" xr:uid="{BBAB2A4E-4977-A343-9759-F4C16CC9778F}"/>
    <hyperlink ref="C42" r:id="rId61" xr:uid="{1DA7E189-C6D1-B042-816A-8BA84CDCF9C1}"/>
    <hyperlink ref="C53" r:id="rId62" xr:uid="{8258264D-597C-304B-B950-FBD8E824FDD4}"/>
    <hyperlink ref="C54" r:id="rId63" xr:uid="{06150C34-08D0-8E41-8EA3-55089AA8CCBC}"/>
    <hyperlink ref="C55" r:id="rId64" xr:uid="{DE2223CD-D7A8-E64D-9B17-12E5160BC6FC}"/>
    <hyperlink ref="C56" r:id="rId65" xr:uid="{539244D1-09D1-5845-A8CC-8BB1F52EB801}"/>
    <hyperlink ref="C58" r:id="rId66" xr:uid="{46C93025-FB83-0749-9DF1-9B7B8AC03A1E}"/>
    <hyperlink ref="C52" r:id="rId67" xr:uid="{3CB26C3F-76F3-DD4E-8623-97F028CF92E4}"/>
    <hyperlink ref="C57" r:id="rId68" xr:uid="{76E6DB01-C40E-E44A-850B-3FCD70115B44}"/>
    <hyperlink ref="C41" r:id="rId69" xr:uid="{3BD98672-3FCF-2841-AD2C-DEBC3DA75D32}"/>
    <hyperlink ref="C50" r:id="rId70" xr:uid="{89159A3D-5E29-1C4B-BB1A-67686882E44A}"/>
    <hyperlink ref="C51" r:id="rId71" xr:uid="{9142701B-EED1-E744-BA44-3B2802269376}"/>
    <hyperlink ref="C61" r:id="rId72" xr:uid="{670D9252-C227-3346-BDB1-4E9B1057308B}"/>
    <hyperlink ref="C62" r:id="rId73" xr:uid="{FE728140-B342-1E4F-96F5-CD1EE7F6D1F0}"/>
    <hyperlink ref="C59" r:id="rId74" xr:uid="{2A32FCE7-A393-644A-8934-6CC06CD3E11B}"/>
    <hyperlink ref="C60" r:id="rId75" xr:uid="{CE3D5985-EF7F-7548-A830-C29868FF20B2}"/>
    <hyperlink ref="C63" r:id="rId76" xr:uid="{572C6951-0530-554C-8767-A74F479E2702}"/>
    <hyperlink ref="C64" r:id="rId77" xr:uid="{01AEC02E-C55C-0946-80CC-3011E08A1C5A}"/>
    <hyperlink ref="C66" r:id="rId78" xr:uid="{4B27E4C5-26E3-564D-9150-C53DBF4A40F8}"/>
    <hyperlink ref="C68" r:id="rId79" xr:uid="{26ED3419-0E2F-5443-9137-4F3994540564}"/>
    <hyperlink ref="C69" r:id="rId80" xr:uid="{E8573DEE-E45B-8940-B8DE-6C5D8FAFC9B4}"/>
    <hyperlink ref="C30" r:id="rId81" xr:uid="{FAFEBDBF-1F9A-C145-BDFF-8CA3883817EB}"/>
    <hyperlink ref="C28" r:id="rId82" xr:uid="{867AD23C-A2F5-6449-AAA3-58E959BBEA36}"/>
    <hyperlink ref="C29" r:id="rId83" xr:uid="{51EEABF9-8D20-4440-B6EB-A72DC972AECB}"/>
    <hyperlink ref="C32" r:id="rId84" xr:uid="{745D466B-C40D-0C4E-91DF-93BBC3CD910F}"/>
    <hyperlink ref="C33" r:id="rId85" xr:uid="{8A7D6826-0F76-1046-9D8B-E6A2A354CE7D}"/>
    <hyperlink ref="C35" r:id="rId86" xr:uid="{202C3011-FC3B-AE43-ADD1-CE180CCC5F79}"/>
    <hyperlink ref="C36" r:id="rId87" xr:uid="{9DB844E7-EAA8-CA41-BFA2-48D9213AE30F}"/>
    <hyperlink ref="C37" r:id="rId88" xr:uid="{F9BD437B-87A3-0549-9725-730E2311890D}"/>
    <hyperlink ref="C40" r:id="rId89" xr:uid="{67E5D61F-A6E5-0544-97B6-8E525D2E90F1}"/>
    <hyperlink ref="C70" r:id="rId90" xr:uid="{A8F8C8A4-F88B-1A49-B09A-DCED387DB330}"/>
    <hyperlink ref="C76" r:id="rId91" xr:uid="{FBF39128-4735-A047-94DA-46F267E61A5F}"/>
    <hyperlink ref="C47" r:id="rId92" xr:uid="{09E319B7-ADCF-E749-BF31-1EB6988BE3A8}"/>
    <hyperlink ref="C27" r:id="rId93" xr:uid="{6CB5D3BE-483C-D748-BE23-4F53A45A6969}"/>
    <hyperlink ref="C25" r:id="rId94" xr:uid="{D93DCAE3-F881-F54E-9EE3-BFFA29FEC470}"/>
    <hyperlink ref="C26" r:id="rId95" xr:uid="{7EC78232-51F5-BD4C-B117-E99A7BCA922F}"/>
  </hyperlink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c8f49a32-fde3-48a5-9266-b5b0972a22dc}" enabled="1" method="Standard" siteId="{5ae1af62-9505-4097-a69a-c1553ef7840e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APP_IMPORT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Islam (syeislam)</dc:creator>
  <cp:lastModifiedBy>Syed Islam (syeislam)</cp:lastModifiedBy>
  <dcterms:created xsi:type="dcterms:W3CDTF">2026-01-12T10:15:17Z</dcterms:created>
  <dcterms:modified xsi:type="dcterms:W3CDTF">2026-01-23T16:05:06Z</dcterms:modified>
</cp:coreProperties>
</file>