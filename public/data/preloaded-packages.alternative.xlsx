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yeislam/Projects/hajj-package-recommender/public/data/"/>
    </mc:Choice>
  </mc:AlternateContent>
  <xr:revisionPtr revIDLastSave="0" documentId="13_ncr:1_{BDDC63C4-4DEB-7447-BEEE-5C0BEF73A603}" xr6:coauthVersionLast="47" xr6:coauthVersionMax="47" xr10:uidLastSave="{00000000-0000-0000-0000-000000000000}"/>
  <bookViews>
    <workbookView xWindow="34560" yWindow="-6460" windowWidth="68800" windowHeight="28800" xr2:uid="{AD8FC603-B9FA-4647-931F-FC446FF6F159}"/>
  </bookViews>
  <sheets>
    <sheet name="APP_IMPORT" sheetId="3" r:id="rId1"/>
  </sheets>
  <definedNames>
    <definedName name="_xlnm._FilterDatabase" localSheetId="0" hidden="1">APP_IMPORT!$A$1:$Y$107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7" i="3" l="1"/>
  <c r="R105" i="3"/>
  <c r="R102" i="3"/>
  <c r="R98" i="3"/>
  <c r="R97" i="3"/>
  <c r="R96" i="3"/>
  <c r="R87" i="3"/>
  <c r="R86" i="3"/>
  <c r="R84" i="3"/>
  <c r="R83" i="3"/>
  <c r="R73" i="3"/>
  <c r="R69" i="3"/>
  <c r="R67" i="3"/>
  <c r="R65" i="3"/>
  <c r="R59" i="3"/>
  <c r="R56" i="3"/>
  <c r="R52" i="3"/>
  <c r="R48" i="3"/>
  <c r="R47" i="3"/>
  <c r="R44" i="3"/>
  <c r="R43" i="3"/>
  <c r="R41" i="3"/>
  <c r="R40" i="3"/>
  <c r="R38" i="3"/>
  <c r="R37" i="3"/>
  <c r="R35" i="3"/>
  <c r="R34" i="3"/>
  <c r="R31" i="3"/>
  <c r="R29" i="3"/>
  <c r="R28" i="3"/>
  <c r="R27" i="3"/>
  <c r="R26" i="3"/>
  <c r="R25" i="3"/>
  <c r="R24" i="3"/>
  <c r="R21" i="3"/>
  <c r="R18" i="3"/>
  <c r="R17" i="3"/>
  <c r="R16" i="3"/>
  <c r="R15" i="3"/>
  <c r="R14" i="3"/>
  <c r="R13" i="3"/>
  <c r="R11" i="3"/>
  <c r="W87" i="3"/>
  <c r="W86" i="3"/>
  <c r="W73" i="3"/>
  <c r="W72" i="3"/>
  <c r="W71" i="3"/>
  <c r="W47" i="3"/>
  <c r="W2" i="3"/>
  <c r="V87" i="3"/>
  <c r="V86" i="3"/>
  <c r="V52" i="3"/>
  <c r="U107" i="3"/>
  <c r="U105" i="3"/>
  <c r="U102" i="3"/>
  <c r="U98" i="3"/>
  <c r="U97" i="3"/>
  <c r="U96" i="3"/>
  <c r="U92" i="3"/>
  <c r="U87" i="3"/>
  <c r="U86" i="3"/>
  <c r="U84" i="3"/>
  <c r="U83" i="3"/>
  <c r="U81" i="3"/>
  <c r="U75" i="3"/>
  <c r="U73" i="3"/>
  <c r="U72" i="3"/>
  <c r="U65" i="3"/>
  <c r="U64" i="3"/>
  <c r="U63" i="3"/>
  <c r="U62" i="3"/>
  <c r="U58" i="3"/>
  <c r="U57" i="3"/>
  <c r="U56" i="3"/>
  <c r="U50" i="3"/>
  <c r="U49" i="3"/>
  <c r="U47" i="3"/>
  <c r="U32" i="3"/>
  <c r="U31" i="3"/>
  <c r="U29" i="3"/>
  <c r="U27" i="3"/>
  <c r="U26" i="3"/>
  <c r="U25" i="3"/>
  <c r="U24" i="3"/>
  <c r="U23" i="3"/>
  <c r="U22" i="3"/>
  <c r="U21" i="3"/>
  <c r="U18" i="3"/>
  <c r="U17" i="3"/>
  <c r="U16" i="3"/>
  <c r="U15" i="3"/>
  <c r="U14" i="3"/>
  <c r="U13" i="3"/>
  <c r="U12" i="3"/>
  <c r="U11" i="3"/>
  <c r="U8" i="3"/>
  <c r="T107" i="3"/>
  <c r="T105" i="3"/>
  <c r="T102" i="3"/>
  <c r="T98" i="3"/>
  <c r="T97" i="3"/>
  <c r="T96" i="3"/>
  <c r="T92" i="3"/>
  <c r="T87" i="3"/>
  <c r="T86" i="3"/>
  <c r="T84" i="3"/>
  <c r="T83" i="3"/>
  <c r="T65" i="3"/>
  <c r="T58" i="3"/>
  <c r="T52" i="3"/>
  <c r="T47" i="3"/>
  <c r="T31" i="3"/>
  <c r="T29" i="3"/>
  <c r="T28" i="3"/>
  <c r="T27" i="3"/>
  <c r="T26" i="3"/>
  <c r="T25" i="3"/>
  <c r="T24" i="3"/>
  <c r="T21" i="3"/>
  <c r="T18" i="3"/>
  <c r="T17" i="3"/>
  <c r="T16" i="3"/>
  <c r="T15" i="3"/>
  <c r="T14" i="3"/>
  <c r="T13" i="3"/>
  <c r="T11" i="3"/>
  <c r="S107" i="3"/>
  <c r="S105" i="3"/>
  <c r="S102" i="3"/>
  <c r="S98" i="3"/>
  <c r="S97" i="3"/>
  <c r="S96" i="3"/>
  <c r="S92" i="3"/>
  <c r="S87" i="3"/>
  <c r="S86" i="3"/>
  <c r="S84" i="3"/>
  <c r="S83" i="3"/>
  <c r="S81" i="3"/>
  <c r="S75" i="3"/>
  <c r="S60" i="3"/>
  <c r="S59" i="3"/>
  <c r="S57" i="3"/>
  <c r="S53" i="3"/>
  <c r="S50" i="3"/>
  <c r="S49" i="3"/>
  <c r="S48" i="3"/>
  <c r="S47" i="3"/>
  <c r="S43" i="3"/>
  <c r="S41" i="3"/>
  <c r="S40" i="3"/>
  <c r="S38" i="3"/>
  <c r="S37" i="3"/>
  <c r="S35" i="3"/>
  <c r="S34" i="3"/>
  <c r="S32" i="3"/>
  <c r="S31" i="3"/>
  <c r="S29" i="3"/>
  <c r="S27" i="3"/>
  <c r="S26" i="3"/>
  <c r="S25" i="3"/>
  <c r="S24" i="3"/>
  <c r="S23" i="3"/>
  <c r="S22" i="3"/>
  <c r="S21" i="3"/>
  <c r="S18" i="3"/>
  <c r="S17" i="3"/>
  <c r="S16" i="3"/>
  <c r="S15" i="3"/>
  <c r="S14" i="3"/>
  <c r="S13" i="3"/>
  <c r="S12" i="3"/>
  <c r="S11" i="3"/>
  <c r="S8" i="3"/>
  <c r="F107" i="3" l="1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</calcChain>
</file>

<file path=xl/sharedStrings.xml><?xml version="1.0" encoding="utf-8"?>
<sst xmlns="http://schemas.openxmlformats.org/spreadsheetml/2006/main" count="1614" uniqueCount="323">
  <si>
    <t>Elite Plus</t>
  </si>
  <si>
    <t>View Hotel</t>
  </si>
  <si>
    <t>A</t>
  </si>
  <si>
    <t>B2500</t>
  </si>
  <si>
    <t>B3400</t>
  </si>
  <si>
    <t>B1820</t>
  </si>
  <si>
    <t>B2400</t>
  </si>
  <si>
    <t>B2300</t>
  </si>
  <si>
    <t>B3700</t>
  </si>
  <si>
    <t>B1400</t>
  </si>
  <si>
    <t>Makarem Burj Al-Madinah</t>
  </si>
  <si>
    <t>Millenium Al-Aqeeq</t>
  </si>
  <si>
    <t>Luxury Makarem</t>
  </si>
  <si>
    <t>RAWAF 201 MARRIOTT 5 STAR</t>
  </si>
  <si>
    <t>B</t>
  </si>
  <si>
    <t>Seera Group</t>
  </si>
  <si>
    <t>Anjum Hotel</t>
  </si>
  <si>
    <t>Non-shifting</t>
  </si>
  <si>
    <t>London (LHR)</t>
  </si>
  <si>
    <t>Pullman Zamzam</t>
  </si>
  <si>
    <t>Makkah</t>
  </si>
  <si>
    <t>Nesmat Aljoury Hotel</t>
  </si>
  <si>
    <t>https://hajj.nusuk.sa/sp/package/summary/ac910000-66ae-56b2-7160-08de4c7b1c85</t>
  </si>
  <si>
    <t>Manchester (MAN)</t>
  </si>
  <si>
    <t>C</t>
  </si>
  <si>
    <t>M</t>
  </si>
  <si>
    <t>Marriott Jabal Omar</t>
  </si>
  <si>
    <t>Mawasim Value 020</t>
  </si>
  <si>
    <t>Mawasim Value 080</t>
  </si>
  <si>
    <t>Maien Al Madina</t>
  </si>
  <si>
    <t>Safwat Altalayie</t>
  </si>
  <si>
    <t>Supreme 03</t>
  </si>
  <si>
    <t>Maad International</t>
  </si>
  <si>
    <t>Mawasim Value 030</t>
  </si>
  <si>
    <t>Supreme 02</t>
  </si>
  <si>
    <t>Mawasim Smart 01</t>
  </si>
  <si>
    <t>Park House Hotel</t>
  </si>
  <si>
    <t>Mawasim Value Plus 03</t>
  </si>
  <si>
    <t>Mawasim Value Plus 05</t>
  </si>
  <si>
    <t>Sheraton Makkah</t>
  </si>
  <si>
    <t>Al Bait Guest</t>
  </si>
  <si>
    <t>A5500</t>
  </si>
  <si>
    <t>A1810</t>
  </si>
  <si>
    <t>A1800</t>
  </si>
  <si>
    <t>A1400</t>
  </si>
  <si>
    <t>A1900</t>
  </si>
  <si>
    <t>A1700</t>
  </si>
  <si>
    <t>A1300</t>
  </si>
  <si>
    <t>A1500</t>
  </si>
  <si>
    <t>Millennium Taiba</t>
  </si>
  <si>
    <t>Waqf Othman Hotel</t>
  </si>
  <si>
    <t>Dal Al-Iman Intercontinental</t>
  </si>
  <si>
    <t>Al-Kiswah Towers</t>
  </si>
  <si>
    <t>Hilton Convention Jabal Omar</t>
  </si>
  <si>
    <t>Al-Wataniya</t>
  </si>
  <si>
    <t>Arees Al Shisha</t>
  </si>
  <si>
    <t>B5400</t>
  </si>
  <si>
    <t>B5300</t>
  </si>
  <si>
    <t>B1200</t>
  </si>
  <si>
    <t>B3900</t>
  </si>
  <si>
    <t>Abdulhafiz Al Humaidan</t>
  </si>
  <si>
    <t>Doubletree by Hilton Jabal Omar</t>
  </si>
  <si>
    <t>Conrad Jabal Omar Makkah</t>
  </si>
  <si>
    <t>https://hajj.nusuk.sa/sp/package/summary/58260000-1777-56b2-9edc-08de4ea8527f</t>
  </si>
  <si>
    <t>https://hajj.nusuk.sa/sp/package/summary/685d0000-66ae-56b2-3949-08de4ec70221</t>
  </si>
  <si>
    <t>https://hajj.nusuk.sa/sp/package/summary/9c790000-66ae-56b2-7568-08de4ef8020d</t>
  </si>
  <si>
    <t>https://hajj.nusuk.sa/sp/package/summary/9c490000-befd-56b2-4b7f-08de4de870d9</t>
  </si>
  <si>
    <t>https://hajj.nusuk.sa/sp/package/summary/f0450000-befd-56b2-af61-08de4d3d7e23</t>
  </si>
  <si>
    <t>https://hajj.nusuk.sa/sp/package/summary/f0450000-befd-56b2-32a6-08de4d3abe40</t>
  </si>
  <si>
    <t>https://hajj.nusuk.sa/sp/package/summary/f8a30000-7c25-56b2-be8f-08de4e96d643</t>
  </si>
  <si>
    <t>https://hajj.nusuk.sa/sp/package/summary/58260000-1777-56b2-0845-08de4ed9b2d0</t>
  </si>
  <si>
    <t>https://hajj.nusuk.sa/sp/package/summary/f8a30000-7c25-56b2-2f47-08de4e9f6d5b</t>
  </si>
  <si>
    <t>https://hajj.nusuk.sa/sp/package/summary/58260000-1777-56b2-6b10-08de4e9a3f2c</t>
  </si>
  <si>
    <t>https://hajj.nusuk.sa/sp/package/summary/685d0000-66ae-56b2-aef2-08de4ea3932f</t>
  </si>
  <si>
    <t>https://hajj.nusuk.sa/sp/package/summary/58260000-1777-56b2-f27e-08de4e261a1c</t>
  </si>
  <si>
    <t>https://hajj.nusuk.sa/sp/package/summary/b0690000-1777-56b2-2d0d-08de50879299</t>
  </si>
  <si>
    <t>https://hajj.nusuk.sa/sp/package/summary/685d0000-66ae-56b2-3376-08de4df5d7c4</t>
  </si>
  <si>
    <t>https://hajj.nusuk.sa/sp/package/summary/f81a0000-66ae-56b2-f62f-08de4d673bd0</t>
  </si>
  <si>
    <t>https://hajj.nusuk.sa/sp/package/summary/fc7c0000-7c25-56b2-a4d4-08de4d50f3c5</t>
  </si>
  <si>
    <t>https://hajj.nusuk.sa/sp/package/summary/04a60000-befd-56b2-e65b-08de4e0f9a00</t>
  </si>
  <si>
    <t>https://hajj.nusuk.sa/sp/package/summary/04a60000-befd-56b2-80f1-08de4e31e887</t>
  </si>
  <si>
    <t>https://hajj.nusuk.sa/sp/package/summary/fc7c0000-7c25-56b2-8a5e-08de4d5dabb6</t>
  </si>
  <si>
    <t>https://hajj.nusuk.sa/sp/package/summary/54b70000-7c25-56b2-d56d-08de4c67cc5a</t>
  </si>
  <si>
    <t>Dur Hospitality</t>
  </si>
  <si>
    <t>Standard AL Qibla</t>
  </si>
  <si>
    <t>Premium Hira</t>
  </si>
  <si>
    <t>Premium Alnoor</t>
  </si>
  <si>
    <t>https://hajj.nusuk.sa/sp/package/summary/746c0000-66ae-56b2-e7c7-08de4bc21787</t>
  </si>
  <si>
    <t>https://hajj.nusuk.sa/sp/package/summary/f0c00000-1777-56b2-b2ac-08de4bb0578d</t>
  </si>
  <si>
    <t>https://hajj.nusuk.sa/sp/package/summary/64310000-befd-56b2-5e3b-08de4ba5c541</t>
  </si>
  <si>
    <t>Makarem Hotel</t>
  </si>
  <si>
    <t>Al-Sarafah</t>
  </si>
  <si>
    <t>Courtyard by Marriott</t>
  </si>
  <si>
    <t>Roman Awan</t>
  </si>
  <si>
    <t>Mawasim Value 050</t>
  </si>
  <si>
    <t>Funduq Taba Al Salam</t>
  </si>
  <si>
    <t>Mawasim Value 070</t>
  </si>
  <si>
    <t>HSR Comfort 22 Nights</t>
  </si>
  <si>
    <t>London (STN)</t>
  </si>
  <si>
    <t>Razana Al Rawda</t>
  </si>
  <si>
    <t>SID Executive B</t>
  </si>
  <si>
    <t>https://hajj.nusuk.sa/sp/package/summary/24600000-1777-56b2-3bba-08de4f72c60b</t>
  </si>
  <si>
    <t>Swissotel Makkah</t>
  </si>
  <si>
    <t>https://hajj.nusuk.sa/sp/package/summary/04a60000-befd-56b2-1c90-08de4e183bd7</t>
  </si>
  <si>
    <t>https://hajj.nusuk.sa/sp/package/summary/24600000-1777-56b2-224d-08de4eec5fd8</t>
  </si>
  <si>
    <t>https://hajj.nusuk.sa/sp/package/summary/e4790000-befd-56b2-66f5-08de5109bdcc</t>
  </si>
  <si>
    <t>https://hajj.nusuk.sa/sp/package/summary/04830000-7c25-56b2-7870-08de513382d3</t>
  </si>
  <si>
    <t>Ikram Aldeif</t>
  </si>
  <si>
    <t>Anjum 304</t>
  </si>
  <si>
    <t>Movenpick Anwar</t>
  </si>
  <si>
    <t>Holiday Inn Bakkah</t>
  </si>
  <si>
    <t>https://hajj.nusuk.sa/sp/package/summary/e4790000-befd-56b2-4a18-08de51340686</t>
  </si>
  <si>
    <t>Anjum 305</t>
  </si>
  <si>
    <t>Nusk Al Eman</t>
  </si>
  <si>
    <t>Montana Hotel</t>
  </si>
  <si>
    <t>Non-Shifting</t>
  </si>
  <si>
    <t>Standard Altayseer</t>
  </si>
  <si>
    <t>https://hajj.nusuk.sa/sp/package/summary/80050000-53a9-56b2-fd20-08de5817bda3</t>
  </si>
  <si>
    <t>standard Al barkh</t>
  </si>
  <si>
    <t>https://hajj.nusuk.sa/sp/package/summary/c42c0000-66ae-56b2-0677-08de58057cdc</t>
  </si>
  <si>
    <t>https://hajj.nusuk.sa/sp/package/summary/183d0000-1777-56b2-ec76-08de5818e6c4</t>
  </si>
  <si>
    <t>HSR Comfort 15 Nights</t>
  </si>
  <si>
    <t>https://hajj.nusuk.sa/sp/package/summary/04830000-7c25-56b2-3656-08de51079256</t>
  </si>
  <si>
    <t>Nozol Royal</t>
  </si>
  <si>
    <t>SID Essentials A</t>
  </si>
  <si>
    <t>https://hajj.nusuk.sa/sp/package/summary/04830000-7c25-56b2-f44f-08de510fc446</t>
  </si>
  <si>
    <t>Waqf Al Safi</t>
  </si>
  <si>
    <t>Aldanah Almasiyyah</t>
  </si>
  <si>
    <t>HSR Gold 01</t>
  </si>
  <si>
    <t>https://hajj.nusuk.sa/sp/package/summary/74d80000-1777-56b2-1ed1-08de50f82d1d</t>
  </si>
  <si>
    <t>https://hajj.nusuk.sa/sp/package/summary/54b70000-7c25-56b2-5900-08de4c65745e</t>
  </si>
  <si>
    <t>Jabal Omar Hyayy Regency</t>
  </si>
  <si>
    <t>AlRawda 118</t>
  </si>
  <si>
    <t>https://hajj.nusuk.sa/sp/package/summary/84800000-befd-56b2-2128-08de4ef9dde3</t>
  </si>
  <si>
    <t>Al Shakreen Golden Tulip</t>
  </si>
  <si>
    <t>Emaar Al Rawda 2</t>
  </si>
  <si>
    <t>Byak 111</t>
  </si>
  <si>
    <t>https://hajj.nusuk.sa/sp/package/summary/24600000-1777-56b2-4ebc-08de4f01f8b9</t>
  </si>
  <si>
    <t>Concorde Dar Al Khair</t>
  </si>
  <si>
    <t>Biak Otel</t>
  </si>
  <si>
    <t>Byak 115</t>
  </si>
  <si>
    <t>https://hajj.nusuk.sa/sp/package/summary/9c790000-66ae-56b2-0534-08de4f178e9e</t>
  </si>
  <si>
    <t>https://hajj.nusuk.sa/sp/package/summary/44ad0000-7c25-56b2-07c5-08de542d88a2</t>
  </si>
  <si>
    <t>Dar Almaqam</t>
  </si>
  <si>
    <t>AlMaqam 133 (Triple Makkah)</t>
  </si>
  <si>
    <t>Al Maqam 106</t>
  </si>
  <si>
    <t>https://hajj.nusuk.sa/sp/package/summary/ac910000-66ae-56b2-506e-08de4c81eb01</t>
  </si>
  <si>
    <t>Legend 124</t>
  </si>
  <si>
    <t>https://hajj.nusuk.sa/sp/package/summary/58260000-1777-56b2-5fed-08de4ed77a7a</t>
  </si>
  <si>
    <t>Emaar Legend Hotel</t>
  </si>
  <si>
    <t>Legend 125</t>
  </si>
  <si>
    <t>https://hajj.nusuk.sa/sp/package/summary/cca90000-66ae-56b2-bae7-08de51f88e9a</t>
  </si>
  <si>
    <t>Legend 128</t>
  </si>
  <si>
    <t>https://hajj.nusuk.sa/sp/package/summary/9c790000-66ae-56b2-0abf-08de4f7f2191</t>
  </si>
  <si>
    <t>Park Plaza 101</t>
  </si>
  <si>
    <t>https://hajj.nusuk.sa/sp/package/summary/a0e20000-1777-56b2-7db1-08de4ddb01b0</t>
  </si>
  <si>
    <t>Park Plaza</t>
  </si>
  <si>
    <t>Park Plaza 110</t>
  </si>
  <si>
    <t>https://hajj.nusuk.sa/sp/package/summary/f83b0000-7c25-56b2-eb44-08de4efb8617</t>
  </si>
  <si>
    <t>legend 109</t>
  </si>
  <si>
    <t>https://hajj.nusuk.sa/sp/package/summary/f83b0000-7c25-56b2-d98e-08de4ef8350e</t>
  </si>
  <si>
    <t>Park Plaza 108</t>
  </si>
  <si>
    <t>https://hajj.nusuk.sa/sp/package/summary/24600000-1777-56b2-28d5-08de4ee05906</t>
  </si>
  <si>
    <t>Emaar Elite Almadinah</t>
  </si>
  <si>
    <t>Madinah</t>
  </si>
  <si>
    <t>AL Dana millennium 123</t>
  </si>
  <si>
    <t>https://hajj.nusuk.sa/sp/package/summary/a0e20000-1777-56b2-bfb5-08de4d6cd1f0</t>
  </si>
  <si>
    <t>Taiba Front Hotel</t>
  </si>
  <si>
    <t>Holiday Inn 127</t>
  </si>
  <si>
    <t>https://hajj.nusuk.sa/sp/package/summary/cca90000-66ae-56b2-a398-08de521bb891</t>
  </si>
  <si>
    <t>https://hajj.nusuk.sa/sp/package/summary/18150000-befd-56b2-fe03-08de53990089</t>
  </si>
  <si>
    <t>Madinah Hilton</t>
  </si>
  <si>
    <t>Hyatt Regency 306 (Triple Standard)</t>
  </si>
  <si>
    <t>SID Luxury Shifting 302</t>
  </si>
  <si>
    <t>https://hajj.nusuk.sa/sp/package/summary/a0e20000-1777-56b2-e923-08de4defaa40</t>
  </si>
  <si>
    <t>Emaar Royal</t>
  </si>
  <si>
    <t>https://hajj.nusuk.sa/sp/package/summary/f8a30000-7c25-56b2-e15e-08de4e9b50f9</t>
  </si>
  <si>
    <t>https://hajj.nusuk.sa/sp/package/summary/58260000-1777-56b2-abf4-08de4eb904a3</t>
  </si>
  <si>
    <t>Paris (CDG)</t>
  </si>
  <si>
    <t>Provider</t>
  </si>
  <si>
    <t>PackageName</t>
  </si>
  <si>
    <t>PackageLink</t>
  </si>
  <si>
    <t>StartDate</t>
  </si>
  <si>
    <t>EndDate</t>
  </si>
  <si>
    <t>DurationDays</t>
  </si>
  <si>
    <t>FirstCity</t>
  </si>
  <si>
    <t>IsShifting</t>
  </si>
  <si>
    <t>MakkahZone</t>
  </si>
  <si>
    <t>BasePriceSAR</t>
  </si>
  <si>
    <t>MadinahHotel</t>
  </si>
  <si>
    <t>MadinahCheckIn</t>
  </si>
  <si>
    <t>MakkahHotel</t>
  </si>
  <si>
    <t>MakkahCheckIn</t>
  </si>
  <si>
    <t>AziziyaHotel</t>
  </si>
  <si>
    <t>AziziyaCheckIn</t>
  </si>
  <si>
    <t>DoubleUpgradeMakkah</t>
  </si>
  <si>
    <t>TripleUpgradeMakkah</t>
  </si>
  <si>
    <t>DoubleUpgradeMadinah</t>
  </si>
  <si>
    <t>TripleUpgradeMadinah</t>
  </si>
  <si>
    <t>DoubleUpgradeAziziya</t>
  </si>
  <si>
    <t>TripleUpgradeAziziya</t>
  </si>
  <si>
    <t>FlightGateway</t>
  </si>
  <si>
    <t>FlightPriceSAR</t>
  </si>
  <si>
    <t>Rawaf Mina</t>
  </si>
  <si>
    <t>102 Tilal Express</t>
  </si>
  <si>
    <t>308 Novotel Express (Triple Standard)</t>
  </si>
  <si>
    <t>161 Marriott 5 Star</t>
  </si>
  <si>
    <t>162 Tilal 5 Star</t>
  </si>
  <si>
    <t>SID Anjum 204</t>
  </si>
  <si>
    <t>SID Luxury Anjum 404</t>
  </si>
  <si>
    <t>Swiss AlMaqam 303</t>
  </si>
  <si>
    <t>573 Osturat</t>
  </si>
  <si>
    <t>B5600</t>
  </si>
  <si>
    <t>B5500</t>
  </si>
  <si>
    <t>521 Osturat</t>
  </si>
  <si>
    <t>202 Tilal 5 Star</t>
  </si>
  <si>
    <t>304 Novotel 4 STAR</t>
  </si>
  <si>
    <t>RAWAF 301 MILLENIUM 4 STAR</t>
  </si>
  <si>
    <t>507 Shuroq</t>
  </si>
  <si>
    <t>RAWAF 509 EHSAN</t>
  </si>
  <si>
    <t>201 Marriott 5</t>
  </si>
  <si>
    <t>301 Millennium 4</t>
  </si>
  <si>
    <t>A5600</t>
  </si>
  <si>
    <t>404 Marriott 5 Star</t>
  </si>
  <si>
    <t>RAWAF 520 OSTURAT</t>
  </si>
  <si>
    <t>511 Aziziah</t>
  </si>
  <si>
    <t>403 Tilal 5 Star</t>
  </si>
  <si>
    <t>518 International</t>
  </si>
  <si>
    <t>A5900</t>
  </si>
  <si>
    <t>Standard Alsafa</t>
  </si>
  <si>
    <t>506 Shuroq</t>
  </si>
  <si>
    <t>Anjum 307</t>
  </si>
  <si>
    <t>Standard Makkah</t>
  </si>
  <si>
    <t>Standard AL HARAM</t>
  </si>
  <si>
    <t>Standard Al hijra</t>
  </si>
  <si>
    <t>Standard Alrawda</t>
  </si>
  <si>
    <t>Standard Alresala</t>
  </si>
  <si>
    <t>Standard taibah</t>
  </si>
  <si>
    <t>https://hajj.nusuk.sa/sp/package/summary/54b70000-7c25-56b2-119c-08de4bca12d0</t>
  </si>
  <si>
    <t>https://hajj.nusuk.sa/sp/package/summary/f8a30000-7c25-56b2-83ee-08de4ed46b78</t>
  </si>
  <si>
    <t>https://hajj.nusuk.sa/sp/package/summary/746c0000-66ae-56b2-2863-08de4bd0e1d6</t>
  </si>
  <si>
    <t>https://hajj.nusuk.sa/sp/package/summary/f83b0000-7c25-56b2-1a45-08de4ee17f10</t>
  </si>
  <si>
    <t>https://hajj.nusuk.sa/sp/package/summary/04a60000-befd-56b2-be0d-08de4e9b8ac9</t>
  </si>
  <si>
    <t>https://hajj.nusuk.sa/sp/package/summary/58260000-1777-56b2-ef9b-08de4ea084c2</t>
  </si>
  <si>
    <t>https://hajj.nusuk.sa/sp/package/summary/fc7c0000-7c25-56b2-dae4-08de4d39360a</t>
  </si>
  <si>
    <t>https://hajj.nusuk.sa/sp/package/summary/b09a0000-1777-56b2-d038-08de4d3a935a</t>
  </si>
  <si>
    <t>https://hajj.nusuk.sa/sp/package/summary/f83b0000-7c25-56b2-c771-08de4f0997d8</t>
  </si>
  <si>
    <t>https://hajj.nusuk.sa/sp/package/summary/64310000-befd-56b2-16f1-08de4bed0f4c</t>
  </si>
  <si>
    <t>https://hajj.nusuk.sa/sp/package/summary/f8c50000-7c25-56b2-38f8-08de4c8048f1</t>
  </si>
  <si>
    <t>https://hajj.nusuk.sa/sp/package/summary/54b70000-7c25-56b2-f44a-08de4bc3bf97</t>
  </si>
  <si>
    <t>https://hajj.nusuk.sa/sp/package/summary/9c790000-66ae-56b2-b920-08de4f974263</t>
  </si>
  <si>
    <t>https://hajj.nusuk.sa/sp/package/summary/24600000-1777-56b2-cf9e-08de4eeb68b6</t>
  </si>
  <si>
    <t>https://hajj.nusuk.sa/sp/package/summary/fc7c0000-7c25-56b2-d367-08de4d3c1701</t>
  </si>
  <si>
    <t>https://hajj.nusuk.sa/sp/package/summary/b09a0000-1777-56b2-a686-08de4c89c19d</t>
  </si>
  <si>
    <t>https://hajj.nusuk.sa/sp/package/summary/f83b0000-7c25-56b2-1a80-08de4f07c79d</t>
  </si>
  <si>
    <t>https://hajj.nusuk.sa/sp/package/summary/9c790000-66ae-56b2-4124-08de4ef08f67</t>
  </si>
  <si>
    <t>https://hajj.nusuk.sa/sp/package/summary/ac910000-66ae-56b2-3d21-08de4c865dae</t>
  </si>
  <si>
    <t>https://hajj.nusuk.sa/sp/package/summary/94500000-fbb1-56b2-ad0a-08de59bfcb54</t>
  </si>
  <si>
    <t>https://hajj.nusuk.sa/sp/package/summary/b09a0000-1777-56b2-ed9b-08de4d3e229a</t>
  </si>
  <si>
    <t>https://hajj.nusuk.sa/sp/package/summary/80050000-53a9-56b2-88e9-08de580fcbdc</t>
  </si>
  <si>
    <t>https://hajj.nusuk.sa/sp/package/summary/84800000-befd-56b2-607c-08de4f95ac4c</t>
  </si>
  <si>
    <t>https://hajj.nusuk.sa/sp/package/summary/bc350000-7c25-56b2-0ed3-08de591ce9a9</t>
  </si>
  <si>
    <t>https://hajj.nusuk.sa/sp/package/summary/183d0000-1777-56b2-ca6c-08de5816985f</t>
  </si>
  <si>
    <t>https://hajj.nusuk.sa/sp/package/summary/2c180000-fe14-56b2-399c-08de581afce6</t>
  </si>
  <si>
    <t>https://hajj.nusuk.sa/sp/package/summary/c42c0000-66ae-56b2-1a33-08de58175905</t>
  </si>
  <si>
    <t>https://hajj.nusuk.sa/sp/package/summary/84180000-fc4c-56b2-1e21-08de581a8f88</t>
  </si>
  <si>
    <t>https://hajj.nusuk.sa/sp/package/summary/9c060000-7c25-56b2-346b-08de58197326</t>
  </si>
  <si>
    <t>https://hajj.nusuk.sa/sp/package/summary/d83d0000-1777-56b2-b76b-08de58185b61</t>
  </si>
  <si>
    <t>Tilal Jabal Al Kaaba</t>
  </si>
  <si>
    <t>Tulip Inn Aldar Hotel</t>
  </si>
  <si>
    <t>Novotel Thakher</t>
  </si>
  <si>
    <t>non-shifting</t>
  </si>
  <si>
    <t>Maysan Al Harithia Hotel</t>
  </si>
  <si>
    <t>Jabal Omar Marriott</t>
  </si>
  <si>
    <t>Osturat Emaar Hotel</t>
  </si>
  <si>
    <t>Mysk Al Balad Rawafed</t>
  </si>
  <si>
    <t>Aleasyi Hospitality Ltd</t>
  </si>
  <si>
    <t>Millennium Mal Dana Hotel</t>
  </si>
  <si>
    <t>Dar Al Shuroq Hotel</t>
  </si>
  <si>
    <t>Assaafa Hotel</t>
  </si>
  <si>
    <t>Mwasim Al Ehsan Hotel</t>
  </si>
  <si>
    <t>Nassmat Aljoury Hotel</t>
  </si>
  <si>
    <t>Mysk Touch Albalad Hotel</t>
  </si>
  <si>
    <t>Osturat Hotel</t>
  </si>
  <si>
    <t>Rafahya Hotel Ethnan</t>
  </si>
  <si>
    <t>Emaar International</t>
  </si>
  <si>
    <t>Rehana AlMashaaer</t>
  </si>
  <si>
    <t>Sky View</t>
  </si>
  <si>
    <t>London (LGW)</t>
  </si>
  <si>
    <t>Birmingham (BHX)</t>
  </si>
  <si>
    <t>Spain (Barcelona)</t>
  </si>
  <si>
    <t>Shifting</t>
  </si>
  <si>
    <t>Abdul Latif Jameel</t>
  </si>
  <si>
    <t>Al Rajhi</t>
  </si>
  <si>
    <t>401 Standard Shifting</t>
  </si>
  <si>
    <t>Premium 204</t>
  </si>
  <si>
    <t>Premium 203</t>
  </si>
  <si>
    <t>303 Standard</t>
  </si>
  <si>
    <t>Luxury 2</t>
  </si>
  <si>
    <t>Premium 1</t>
  </si>
  <si>
    <t>Standard 2</t>
  </si>
  <si>
    <t>https://hajj.nusuk.sa/sp/package/summary/f83b0000-7c25-56b2-081a-08de4ee81379</t>
  </si>
  <si>
    <t>https://hajj.nusuk.sa/sp/package/summary/f0450000-befd-56b2-3a0c-08de4d2eb91d</t>
  </si>
  <si>
    <t>https://hajj.nusuk.sa/sp/package/summary/64310000-befd-56b2-c7fe-08de4c542e6e</t>
  </si>
  <si>
    <t>https://hajj.nusuk.sa/sp/package/summary/04a60000-befd-56b2-b4c1-08de4ea36a01</t>
  </si>
  <si>
    <t>https://hajj.nusuk.sa/sp/package/summary/9c790000-66ae-56b2-7ce7-08de4efbe6f4</t>
  </si>
  <si>
    <t>https://hajj.nusuk.sa/sp/package/summary/fc7c0000-7c25-56b2-c6d7-08de4c91a4eb</t>
  </si>
  <si>
    <t>https://hajj.nusuk.sa/sp/package/summary/74170000-fe14-56b2-b038-08de584321d6</t>
  </si>
  <si>
    <t>https://hajj.nusuk.sa/sp/package/summary/d81e0000-7c25-56b2-ca51-08de5847c84a</t>
  </si>
  <si>
    <t>Odst Al Madinah</t>
  </si>
  <si>
    <t>Assaafa Golden</t>
  </si>
  <si>
    <t>M Hotel Makkah by Millenium</t>
  </si>
  <si>
    <t>Lamar Ajyad</t>
  </si>
  <si>
    <t>Maden Taiba Hotel</t>
  </si>
  <si>
    <t>Jabal Omar Hilton Suites Makkah</t>
  </si>
  <si>
    <t>Valy Almadinah Hotel</t>
  </si>
  <si>
    <t>Mahd AlRisala Hotel</t>
  </si>
  <si>
    <t>Custom</t>
  </si>
  <si>
    <t>Paris</t>
  </si>
  <si>
    <t>Not Available</t>
  </si>
  <si>
    <t>MinaCampUpgrade Available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</si>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</sst>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SAR]\ #,##0.00"/>
    <numFmt numFmtId="165" formatCode="dd/mm"/>
  </numFmts>
  <fonts count="11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i/>
      <sz val="10"/>
      <name val="Calibri"/>
      <family val="2"/>
    </font>
    <font>
      <i/>
      <u/>
      <sz val="12"/>
      <name val="Aptos Narrow"/>
      <family val="2"/>
      <scheme val="minor"/>
    </font>
    <font>
      <u/>
      <sz val="12"/>
      <name val="Aptos Narrow"/>
      <family val="2"/>
      <scheme val="minor"/>
    </font>
    <font>
      <sz val="10"/>
      <color theme="0" tint="-0.34998626667073579"/>
      <name val="Calibri"/>
      <family val="2"/>
    </font>
    <font>
      <i/>
      <sz val="10"/>
      <color theme="0" tint="-0.34998626667073579"/>
      <name val="Calibri"/>
      <family val="2"/>
    </font>
    <font>
      <i/>
      <u/>
      <sz val="12"/>
      <color theme="0" tint="-0.34998626667073579"/>
      <name val="Aptos Narrow"/>
      <family val="2"/>
      <scheme val="minor"/>
    </font>
    <font>
      <u/>
      <sz val="12"/>
      <color theme="0" tint="-0.3499862666707357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6" fontId="3" fillId="0" borderId="0" xfId="0" applyNumberFormat="1" applyFont="1"/>
    <xf numFmtId="164" fontId="3" fillId="0" borderId="0" xfId="0" applyNumberFormat="1" applyFont="1"/>
    <xf numFmtId="164" fontId="3" fillId="0" borderId="0" xfId="0" applyNumberFormat="1" applyFont="1" applyAlignment="1">
      <alignment horizontal="center" vertical="center"/>
    </xf>
    <xf numFmtId="0" fontId="4" fillId="0" borderId="0" xfId="0" applyFont="1"/>
    <xf numFmtId="16" fontId="3" fillId="0" borderId="0" xfId="0" applyNumberFormat="1" applyFont="1" applyAlignment="1">
      <alignment horizontal="right"/>
    </xf>
    <xf numFmtId="0" fontId="3" fillId="0" borderId="0" xfId="0" applyFont="1" applyAlignment="1">
      <alignment vertical="center" wrapText="1"/>
    </xf>
    <xf numFmtId="16" fontId="3" fillId="0" borderId="0" xfId="0" applyNumberFormat="1" applyFont="1" applyAlignment="1">
      <alignment horizontal="center" vertical="center"/>
    </xf>
    <xf numFmtId="165" fontId="0" fillId="0" borderId="0" xfId="0" applyNumberFormat="1"/>
    <xf numFmtId="0" fontId="6" fillId="0" borderId="0" xfId="1" applyFont="1"/>
    <xf numFmtId="0" fontId="6" fillId="0" borderId="0" xfId="1" applyFont="1" applyBorder="1"/>
    <xf numFmtId="0" fontId="5" fillId="0" borderId="0" xfId="1" applyFont="1" applyBorder="1"/>
    <xf numFmtId="164" fontId="3" fillId="2" borderId="0" xfId="0" applyNumberFormat="1" applyFont="1" applyFill="1"/>
    <xf numFmtId="164" fontId="0" fillId="0" borderId="0" xfId="0" applyNumberFormat="1"/>
    <xf numFmtId="164" fontId="0" fillId="0" borderId="0" xfId="0" applyNumberFormat="1" applyAlignment="1">
      <alignment horizontal="right" vertical="center"/>
    </xf>
    <xf numFmtId="0" fontId="7" fillId="0" borderId="0" xfId="0" applyFont="1"/>
    <xf numFmtId="0" fontId="2" fillId="0" borderId="0" xfId="0" applyFont="1"/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justify" vertical="center" wrapText="1"/>
    </xf>
    <xf numFmtId="0" fontId="8" fillId="0" borderId="0" xfId="0" applyFont="1"/>
    <xf numFmtId="0" fontId="9" fillId="0" borderId="0" xfId="1" applyFont="1" applyBorder="1"/>
    <xf numFmtId="0" fontId="10" fillId="0" borderId="0" xfId="1" applyFont="1"/>
    <xf numFmtId="0" fontId="1" fillId="0" borderId="0" xfId="1"/>
    <xf numFmtId="0" fontId="10" fillId="0" borderId="0" xfId="1" applyFont="1" applyBorder="1"/>
    <xf numFmtId="16" fontId="7" fillId="0" borderId="0" xfId="0" applyNumberFormat="1" applyFont="1"/>
    <xf numFmtId="0" fontId="7" fillId="0" borderId="0" xfId="0" applyFont="1" applyAlignment="1">
      <alignment horizontal="center" vertical="center"/>
    </xf>
    <xf numFmtId="16" fontId="7" fillId="0" borderId="0" xfId="0" applyNumberFormat="1" applyFont="1" applyAlignment="1">
      <alignment horizontal="right"/>
    </xf>
    <xf numFmtId="16" fontId="7" fillId="0" borderId="0" xfId="0" applyNumberFormat="1" applyFont="1" applyAlignment="1">
      <alignment horizontal="center" vertical="center"/>
    </xf>
    <xf numFmtId="164" fontId="7" fillId="2" borderId="0" xfId="0" applyNumberFormat="1" applyFont="1" applyFill="1"/>
    <xf numFmtId="164" fontId="7" fillId="0" borderId="0" xfId="0" applyNumberFormat="1" applyFont="1"/>
    <xf numFmtId="164" fontId="7" fillId="0" borderId="0" xfId="0" applyNumberFormat="1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15">
    <dxf>
      <font>
        <color rgb="FF006100"/>
      </font>
      <fill>
        <patternFill>
          <bgColor rgb="FFC6EFCE"/>
        </patternFill>
      </fill>
    </dxf>
    <dxf>
      <font>
        <color rgb="FF0070C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FF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hajj.nusuk.sa/sp/package/summary/58260000-1777-56b2-f27e-08de4e261a1c" TargetMode="External"/><Relationship Id="rId21" Type="http://schemas.openxmlformats.org/officeDocument/2006/relationships/hyperlink" Target="https://hajj.nusuk.sa/sp/package/summary/685d0000-66ae-56b2-3949-08de4ec70221" TargetMode="External"/><Relationship Id="rId42" Type="http://schemas.openxmlformats.org/officeDocument/2006/relationships/hyperlink" Target="https://hajj.nusuk.sa/sp/package/summary/04a60000-befd-56b2-1c90-08de4e183bd7" TargetMode="External"/><Relationship Id="rId47" Type="http://schemas.openxmlformats.org/officeDocument/2006/relationships/hyperlink" Target="https://hajj.nusuk.sa/sp/package/summary/e4790000-befd-56b2-66f5-08de5109bdcc" TargetMode="External"/><Relationship Id="rId63" Type="http://schemas.openxmlformats.org/officeDocument/2006/relationships/hyperlink" Target="https://hajj.nusuk.sa/sp/package/summary/f83b0000-7c25-56b2-d98e-08de4ef8350e" TargetMode="External"/><Relationship Id="rId68" Type="http://schemas.openxmlformats.org/officeDocument/2006/relationships/hyperlink" Target="https://hajj.nusuk.sa/sp/package/summary/f8a30000-7c25-56b2-e15e-08de4e9b50f9" TargetMode="External"/><Relationship Id="rId84" Type="http://schemas.openxmlformats.org/officeDocument/2006/relationships/hyperlink" Target="https://hajj.nusuk.sa/sp/package/summary/d83d0000-1777-56b2-b76b-08de58185b61" TargetMode="External"/><Relationship Id="rId89" Type="http://schemas.openxmlformats.org/officeDocument/2006/relationships/hyperlink" Target="https://hajj.nusuk.sa/sp/package/summary/fc7c0000-7c25-56b2-c6d7-08de4c91a4eb" TargetMode="External"/><Relationship Id="rId16" Type="http://schemas.openxmlformats.org/officeDocument/2006/relationships/hyperlink" Target="https://hajj.nusuk.sa/sp/package/summary/b09a0000-1777-56b2-d038-08de4d3a935a" TargetMode="External"/><Relationship Id="rId11" Type="http://schemas.openxmlformats.org/officeDocument/2006/relationships/hyperlink" Target="https://hajj.nusuk.sa/sp/package/summary/f83b0000-7c25-56b2-c771-08de4f0997d8" TargetMode="External"/><Relationship Id="rId32" Type="http://schemas.openxmlformats.org/officeDocument/2006/relationships/hyperlink" Target="https://hajj.nusuk.sa/sp/package/summary/04830000-7c25-56b2-7870-08de513382d3" TargetMode="External"/><Relationship Id="rId37" Type="http://schemas.openxmlformats.org/officeDocument/2006/relationships/hyperlink" Target="https://hajj.nusuk.sa/sp/package/summary/183d0000-1777-56b2-ec76-08de5818e6c4" TargetMode="External"/><Relationship Id="rId53" Type="http://schemas.openxmlformats.org/officeDocument/2006/relationships/hyperlink" Target="https://hajj.nusuk.sa/sp/package/summary/84800000-befd-56b2-2128-08de4ef9dde3" TargetMode="External"/><Relationship Id="rId58" Type="http://schemas.openxmlformats.org/officeDocument/2006/relationships/hyperlink" Target="https://hajj.nusuk.sa/sp/package/summary/58260000-1777-56b2-5fed-08de4ed77a7a" TargetMode="External"/><Relationship Id="rId74" Type="http://schemas.openxmlformats.org/officeDocument/2006/relationships/hyperlink" Target="https://hajj.nusuk.sa/sp/package/summary/54b70000-7c25-56b2-f44a-08de4bc3bf97" TargetMode="External"/><Relationship Id="rId79" Type="http://schemas.openxmlformats.org/officeDocument/2006/relationships/hyperlink" Target="https://hajj.nusuk.sa/sp/package/summary/2c180000-fe14-56b2-399c-08de581afce6" TargetMode="External"/><Relationship Id="rId5" Type="http://schemas.openxmlformats.org/officeDocument/2006/relationships/hyperlink" Target="https://hajj.nusuk.sa/sp/package/summary/b09a0000-1777-56b2-a686-08de4c89c19d" TargetMode="External"/><Relationship Id="rId90" Type="http://schemas.openxmlformats.org/officeDocument/2006/relationships/hyperlink" Target="https://hajj.nusuk.sa/sp/package/summary/74170000-fe14-56b2-b038-08de584321d6" TargetMode="External"/><Relationship Id="rId14" Type="http://schemas.openxmlformats.org/officeDocument/2006/relationships/hyperlink" Target="https://hajj.nusuk.sa/sp/package/summary/685d0000-66ae-56b2-3949-08de4ec70221" TargetMode="External"/><Relationship Id="rId22" Type="http://schemas.openxmlformats.org/officeDocument/2006/relationships/hyperlink" Target="https://hajj.nusuk.sa/sp/package/summary/58260000-1777-56b2-0845-08de4ed9b2d0" TargetMode="External"/><Relationship Id="rId27" Type="http://schemas.openxmlformats.org/officeDocument/2006/relationships/hyperlink" Target="https://hajj.nusuk.sa/sp/package/summary/04a60000-befd-56b2-e65b-08de4e0f9a00" TargetMode="External"/><Relationship Id="rId30" Type="http://schemas.openxmlformats.org/officeDocument/2006/relationships/hyperlink" Target="https://hajj.nusuk.sa/sp/package/summary/24600000-1777-56b2-224d-08de4eec5fd8" TargetMode="External"/><Relationship Id="rId35" Type="http://schemas.openxmlformats.org/officeDocument/2006/relationships/hyperlink" Target="https://hajj.nusuk.sa/sp/package/summary/80050000-53a9-56b2-fd20-08de5817bda3" TargetMode="External"/><Relationship Id="rId43" Type="http://schemas.openxmlformats.org/officeDocument/2006/relationships/hyperlink" Target="https://hajj.nusuk.sa/sp/package/summary/24600000-1777-56b2-224d-08de4eec5fd8" TargetMode="External"/><Relationship Id="rId48" Type="http://schemas.openxmlformats.org/officeDocument/2006/relationships/hyperlink" Target="https://hajj.nusuk.sa/sp/package/summary/74d80000-1777-56b2-1ed1-08de50f82d1d" TargetMode="External"/><Relationship Id="rId56" Type="http://schemas.openxmlformats.org/officeDocument/2006/relationships/hyperlink" Target="https://hajj.nusuk.sa/sp/package/summary/44ad0000-7c25-56b2-07c5-08de542d88a2" TargetMode="External"/><Relationship Id="rId64" Type="http://schemas.openxmlformats.org/officeDocument/2006/relationships/hyperlink" Target="https://hajj.nusuk.sa/sp/package/summary/24600000-1777-56b2-28d5-08de4ee05906" TargetMode="External"/><Relationship Id="rId69" Type="http://schemas.openxmlformats.org/officeDocument/2006/relationships/hyperlink" Target="https://hajj.nusuk.sa/sp/package/summary/58260000-1777-56b2-abf4-08de4eb904a3" TargetMode="External"/><Relationship Id="rId77" Type="http://schemas.openxmlformats.org/officeDocument/2006/relationships/hyperlink" Target="https://hajj.nusuk.sa/sp/package/summary/64310000-befd-56b2-5e3b-08de4ba5c541" TargetMode="External"/><Relationship Id="rId8" Type="http://schemas.openxmlformats.org/officeDocument/2006/relationships/hyperlink" Target="https://hajj.nusuk.sa/sp/package/summary/24600000-1777-56b2-cf9e-08de4eeb68b6" TargetMode="External"/><Relationship Id="rId51" Type="http://schemas.openxmlformats.org/officeDocument/2006/relationships/hyperlink" Target="https://hajj.nusuk.sa/sp/package/summary/f81a0000-66ae-56b2-f62f-08de4d673bd0" TargetMode="External"/><Relationship Id="rId72" Type="http://schemas.openxmlformats.org/officeDocument/2006/relationships/hyperlink" Target="https://hajj.nusuk.sa/sp/package/summary/746c0000-66ae-56b2-2863-08de4bd0e1d6" TargetMode="External"/><Relationship Id="rId80" Type="http://schemas.openxmlformats.org/officeDocument/2006/relationships/hyperlink" Target="https://hajj.nusuk.sa/sp/package/summary/c42c0000-66ae-56b2-1a33-08de58175905" TargetMode="External"/><Relationship Id="rId85" Type="http://schemas.openxmlformats.org/officeDocument/2006/relationships/hyperlink" Target="https://hajj.nusuk.sa/sp/package/summary/f8a30000-7c25-56b2-83ee-08de4ed46b78" TargetMode="External"/><Relationship Id="rId3" Type="http://schemas.openxmlformats.org/officeDocument/2006/relationships/hyperlink" Target="https://hajj.nusuk.sa/sp/package/summary/54b70000-7c25-56b2-f44a-08de4bc3bf97" TargetMode="External"/><Relationship Id="rId12" Type="http://schemas.openxmlformats.org/officeDocument/2006/relationships/hyperlink" Target="https://hajj.nusuk.sa/sp/package/summary/58260000-1777-56b2-ef9b-08de4ea084c2" TargetMode="External"/><Relationship Id="rId17" Type="http://schemas.openxmlformats.org/officeDocument/2006/relationships/hyperlink" Target="https://hajj.nusuk.sa/sp/package/summary/f0450000-befd-56b2-af61-08de4d3d7e23" TargetMode="External"/><Relationship Id="rId25" Type="http://schemas.openxmlformats.org/officeDocument/2006/relationships/hyperlink" Target="https://hajj.nusuk.sa/sp/package/summary/685d0000-66ae-56b2-aef2-08de4ea3932f" TargetMode="External"/><Relationship Id="rId33" Type="http://schemas.openxmlformats.org/officeDocument/2006/relationships/hyperlink" Target="https://hajj.nusuk.sa/sp/package/summary/fc7c0000-7c25-56b2-dae4-08de4d39360a" TargetMode="External"/><Relationship Id="rId38" Type="http://schemas.openxmlformats.org/officeDocument/2006/relationships/hyperlink" Target="https://hajj.nusuk.sa/sp/package/summary/b0690000-1777-56b2-2d0d-08de50879299" TargetMode="External"/><Relationship Id="rId46" Type="http://schemas.openxmlformats.org/officeDocument/2006/relationships/hyperlink" Target="https://hajj.nusuk.sa/sp/package/summary/04830000-7c25-56b2-f44f-08de510fc446" TargetMode="External"/><Relationship Id="rId59" Type="http://schemas.openxmlformats.org/officeDocument/2006/relationships/hyperlink" Target="https://hajj.nusuk.sa/sp/package/summary/cca90000-66ae-56b2-bae7-08de51f88e9a" TargetMode="External"/><Relationship Id="rId67" Type="http://schemas.openxmlformats.org/officeDocument/2006/relationships/hyperlink" Target="https://hajj.nusuk.sa/sp/package/summary/18150000-befd-56b2-fe03-08de53990089" TargetMode="External"/><Relationship Id="rId20" Type="http://schemas.openxmlformats.org/officeDocument/2006/relationships/hyperlink" Target="https://hajj.nusuk.sa/sp/package/summary/fc7c0000-7c25-56b2-d367-08de4d3c1701" TargetMode="External"/><Relationship Id="rId41" Type="http://schemas.openxmlformats.org/officeDocument/2006/relationships/hyperlink" Target="https://hajj.nusuk.sa/sp/package/summary/04830000-7c25-56b2-3656-08de51079256" TargetMode="External"/><Relationship Id="rId54" Type="http://schemas.openxmlformats.org/officeDocument/2006/relationships/hyperlink" Target="https://hajj.nusuk.sa/sp/package/summary/24600000-1777-56b2-4ebc-08de4f01f8b9" TargetMode="External"/><Relationship Id="rId62" Type="http://schemas.openxmlformats.org/officeDocument/2006/relationships/hyperlink" Target="https://hajj.nusuk.sa/sp/package/summary/f83b0000-7c25-56b2-eb44-08de4efb8617" TargetMode="External"/><Relationship Id="rId70" Type="http://schemas.openxmlformats.org/officeDocument/2006/relationships/hyperlink" Target="https://hajj.nusuk.sa/sp/package/summary/04a60000-befd-56b2-be0d-08de4e9b8ac9" TargetMode="External"/><Relationship Id="rId75" Type="http://schemas.openxmlformats.org/officeDocument/2006/relationships/hyperlink" Target="https://hajj.nusuk.sa/sp/package/summary/f8c50000-7c25-56b2-38f8-08de4c8048f1" TargetMode="External"/><Relationship Id="rId83" Type="http://schemas.openxmlformats.org/officeDocument/2006/relationships/hyperlink" Target="https://hajj.nusuk.sa/sp/package/summary/80050000-53a9-56b2-88e9-08de580fcbdc" TargetMode="External"/><Relationship Id="rId88" Type="http://schemas.openxmlformats.org/officeDocument/2006/relationships/hyperlink" Target="https://hajj.nusuk.sa/sp/package/summary/d81e0000-7c25-56b2-ca51-08de5847c84a" TargetMode="External"/><Relationship Id="rId1" Type="http://schemas.openxmlformats.org/officeDocument/2006/relationships/hyperlink" Target="https://hajj.nusuk.sa/sp/package/summary/ac910000-66ae-56b2-7160-08de4c7b1c85" TargetMode="External"/><Relationship Id="rId6" Type="http://schemas.openxmlformats.org/officeDocument/2006/relationships/hyperlink" Target="https://hajj.nusuk.sa/sp/package/summary/84800000-befd-56b2-607c-08de4f95ac4c" TargetMode="External"/><Relationship Id="rId15" Type="http://schemas.openxmlformats.org/officeDocument/2006/relationships/hyperlink" Target="https://hajj.nusuk.sa/sp/package/summary/9c490000-befd-56b2-4b7f-08de4de870d9" TargetMode="External"/><Relationship Id="rId23" Type="http://schemas.openxmlformats.org/officeDocument/2006/relationships/hyperlink" Target="https://hajj.nusuk.sa/sp/package/summary/f8a30000-7c25-56b2-2f47-08de4e9f6d5b" TargetMode="External"/><Relationship Id="rId28" Type="http://schemas.openxmlformats.org/officeDocument/2006/relationships/hyperlink" Target="https://hajj.nusuk.sa/sp/package/summary/04a60000-befd-56b2-80f1-08de4e31e887" TargetMode="External"/><Relationship Id="rId36" Type="http://schemas.openxmlformats.org/officeDocument/2006/relationships/hyperlink" Target="https://hajj.nusuk.sa/sp/package/summary/c42c0000-66ae-56b2-0677-08de58057cdc" TargetMode="External"/><Relationship Id="rId49" Type="http://schemas.openxmlformats.org/officeDocument/2006/relationships/hyperlink" Target="https://hajj.nusuk.sa/sp/package/summary/54b70000-7c25-56b2-5900-08de4c65745e" TargetMode="External"/><Relationship Id="rId57" Type="http://schemas.openxmlformats.org/officeDocument/2006/relationships/hyperlink" Target="https://hajj.nusuk.sa/sp/package/summary/ac910000-66ae-56b2-506e-08de4c81eb01" TargetMode="External"/><Relationship Id="rId10" Type="http://schemas.openxmlformats.org/officeDocument/2006/relationships/hyperlink" Target="https://hajj.nusuk.sa/sp/package/summary/f83b0000-7c25-56b2-1a80-08de4f07c79d" TargetMode="External"/><Relationship Id="rId31" Type="http://schemas.openxmlformats.org/officeDocument/2006/relationships/hyperlink" Target="https://hajj.nusuk.sa/sp/package/summary/e4790000-befd-56b2-66f5-08de5109bdcc" TargetMode="External"/><Relationship Id="rId44" Type="http://schemas.openxmlformats.org/officeDocument/2006/relationships/hyperlink" Target="https://hajj.nusuk.sa/sp/package/summary/04a60000-befd-56b2-e65b-08de4e0f9a00" TargetMode="External"/><Relationship Id="rId52" Type="http://schemas.openxmlformats.org/officeDocument/2006/relationships/hyperlink" Target="https://hajj.nusuk.sa/sp/package/summary/24600000-1777-56b2-3bba-08de4f72c60b" TargetMode="External"/><Relationship Id="rId60" Type="http://schemas.openxmlformats.org/officeDocument/2006/relationships/hyperlink" Target="https://hajj.nusuk.sa/sp/package/summary/9c790000-66ae-56b2-0abf-08de4f7f2191" TargetMode="External"/><Relationship Id="rId65" Type="http://schemas.openxmlformats.org/officeDocument/2006/relationships/hyperlink" Target="https://hajj.nusuk.sa/sp/package/summary/a0e20000-1777-56b2-bfb5-08de4d6cd1f0" TargetMode="External"/><Relationship Id="rId73" Type="http://schemas.openxmlformats.org/officeDocument/2006/relationships/hyperlink" Target="https://hajj.nusuk.sa/sp/package/summary/ac910000-66ae-56b2-7160-08de4c7b1c85" TargetMode="External"/><Relationship Id="rId78" Type="http://schemas.openxmlformats.org/officeDocument/2006/relationships/hyperlink" Target="https://hajj.nusuk.sa/sp/package/summary/f0c00000-1777-56b2-b2ac-08de4bb0578d" TargetMode="External"/><Relationship Id="rId81" Type="http://schemas.openxmlformats.org/officeDocument/2006/relationships/hyperlink" Target="https://hajj.nusuk.sa/sp/package/summary/84180000-fc4c-56b2-1e21-08de581a8f88" TargetMode="External"/><Relationship Id="rId86" Type="http://schemas.openxmlformats.org/officeDocument/2006/relationships/hyperlink" Target="https://hajj.nusuk.sa/sp/package/summary/94500000-fbb1-56b2-ad0a-08de59bfcb54" TargetMode="External"/><Relationship Id="rId4" Type="http://schemas.openxmlformats.org/officeDocument/2006/relationships/hyperlink" Target="https://hajj.nusuk.sa/sp/package/summary/ac910000-66ae-56b2-3d21-08de4c865dae" TargetMode="External"/><Relationship Id="rId9" Type="http://schemas.openxmlformats.org/officeDocument/2006/relationships/hyperlink" Target="https://hajj.nusuk.sa/sp/package/summary/9c790000-66ae-56b2-4124-08de4ef08f67" TargetMode="External"/><Relationship Id="rId13" Type="http://schemas.openxmlformats.org/officeDocument/2006/relationships/hyperlink" Target="https://hajj.nusuk.sa/sp/package/summary/f83b0000-7c25-56b2-1a45-08de4ee17f10" TargetMode="External"/><Relationship Id="rId18" Type="http://schemas.openxmlformats.org/officeDocument/2006/relationships/hyperlink" Target="https://hajj.nusuk.sa/sp/package/summary/f0450000-befd-56b2-32a6-08de4d3abe40" TargetMode="External"/><Relationship Id="rId39" Type="http://schemas.openxmlformats.org/officeDocument/2006/relationships/hyperlink" Target="https://hajj.nusuk.sa/sp/package/summary/fc7c0000-7c25-56b2-8a5e-08de4d5dabb6" TargetMode="External"/><Relationship Id="rId34" Type="http://schemas.openxmlformats.org/officeDocument/2006/relationships/hyperlink" Target="https://hajj.nusuk.sa/sp/package/summary/b09a0000-1777-56b2-ed9b-08de4d3e229a" TargetMode="External"/><Relationship Id="rId50" Type="http://schemas.openxmlformats.org/officeDocument/2006/relationships/hyperlink" Target="https://hajj.nusuk.sa/sp/package/summary/54b70000-7c25-56b2-d56d-08de4c67cc5a" TargetMode="External"/><Relationship Id="rId55" Type="http://schemas.openxmlformats.org/officeDocument/2006/relationships/hyperlink" Target="https://hajj.nusuk.sa/sp/package/summary/9c790000-66ae-56b2-0534-08de4f178e9e" TargetMode="External"/><Relationship Id="rId76" Type="http://schemas.openxmlformats.org/officeDocument/2006/relationships/hyperlink" Target="https://hajj.nusuk.sa/sp/package/summary/746c0000-66ae-56b2-e7c7-08de4bc21787" TargetMode="External"/><Relationship Id="rId7" Type="http://schemas.openxmlformats.org/officeDocument/2006/relationships/hyperlink" Target="https://hajj.nusuk.sa/sp/package/summary/9c790000-66ae-56b2-b920-08de4f974263" TargetMode="External"/><Relationship Id="rId71" Type="http://schemas.openxmlformats.org/officeDocument/2006/relationships/hyperlink" Target="https://hajj.nusuk.sa/sp/package/summary/54b70000-7c25-56b2-119c-08de4bca12d0" TargetMode="External"/><Relationship Id="rId2" Type="http://schemas.openxmlformats.org/officeDocument/2006/relationships/hyperlink" Target="https://hajj.nusuk.sa/sp/package/summary/64310000-befd-56b2-16f1-08de4bed0f4c" TargetMode="External"/><Relationship Id="rId29" Type="http://schemas.openxmlformats.org/officeDocument/2006/relationships/hyperlink" Target="https://hajj.nusuk.sa/sp/package/summary/04a60000-befd-56b2-1c90-08de4e183bd7" TargetMode="External"/><Relationship Id="rId24" Type="http://schemas.openxmlformats.org/officeDocument/2006/relationships/hyperlink" Target="https://hajj.nusuk.sa/sp/package/summary/58260000-1777-56b2-6b10-08de4e9a3f2c" TargetMode="External"/><Relationship Id="rId40" Type="http://schemas.openxmlformats.org/officeDocument/2006/relationships/hyperlink" Target="https://hajj.nusuk.sa/sp/package/summary/685d0000-66ae-56b2-3376-08de4df5d7c4" TargetMode="External"/><Relationship Id="rId45" Type="http://schemas.openxmlformats.org/officeDocument/2006/relationships/hyperlink" Target="https://hajj.nusuk.sa/sp/package/summary/04a60000-befd-56b2-80f1-08de4e31e887" TargetMode="External"/><Relationship Id="rId66" Type="http://schemas.openxmlformats.org/officeDocument/2006/relationships/hyperlink" Target="https://hajj.nusuk.sa/sp/package/summary/cca90000-66ae-56b2-a398-08de521bb891" TargetMode="External"/><Relationship Id="rId87" Type="http://schemas.openxmlformats.org/officeDocument/2006/relationships/hyperlink" Target="https://hajj.nusuk.sa/sp/package/summary/bc350000-7c25-56b2-0ed3-08de591ce9a9" TargetMode="External"/><Relationship Id="rId61" Type="http://schemas.openxmlformats.org/officeDocument/2006/relationships/hyperlink" Target="https://hajj.nusuk.sa/sp/package/summary/a0e20000-1777-56b2-7db1-08de4ddb01b0" TargetMode="External"/><Relationship Id="rId82" Type="http://schemas.openxmlformats.org/officeDocument/2006/relationships/hyperlink" Target="https://hajj.nusuk.sa/sp/package/summary/9c060000-7c25-56b2-346b-08de58197326" TargetMode="External"/><Relationship Id="rId19" Type="http://schemas.openxmlformats.org/officeDocument/2006/relationships/hyperlink" Target="https://hajj.nusuk.sa/sp/package/summary/f8a30000-7c25-56b2-be8f-08de4e96d6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6820D-81C0-6849-B92E-D65DC21B0CEF}">
  <dimension ref="A1:AC107"/>
  <sheetViews>
    <sheetView tabSelected="1" zoomScale="150" zoomScaleNormal="150" workbookViewId="0">
      <selection activeCell="B7" sqref="B7"/>
    </sheetView>
  </sheetViews>
  <sheetFormatPr baseColWidth="10" defaultRowHeight="16" x14ac:dyDescent="0.2"/>
  <cols>
    <col min="1" max="1" width="13.1640625" bestFit="1" customWidth="1"/>
    <col min="2" max="2" width="26.33203125" bestFit="1" customWidth="1"/>
    <col min="3" max="3" width="73" bestFit="1" customWidth="1"/>
    <col min="4" max="4" width="9.1640625" style="10" bestFit="1" customWidth="1"/>
    <col min="5" max="5" width="8.1640625" style="10" bestFit="1" customWidth="1"/>
    <col min="6" max="6" width="12.33203125" bestFit="1" customWidth="1"/>
    <col min="7" max="7" width="8.1640625" bestFit="1" customWidth="1"/>
    <col min="8" max="8" width="8.5" bestFit="1" customWidth="1"/>
    <col min="9" max="9" width="11.33203125" bestFit="1" customWidth="1"/>
    <col min="10" max="10" width="10" bestFit="1" customWidth="1"/>
    <col min="11" max="11" width="12.5" bestFit="1" customWidth="1"/>
    <col min="12" max="12" width="12.6640625" bestFit="1" customWidth="1"/>
    <col min="13" max="13" width="14.83203125" bestFit="1" customWidth="1"/>
    <col min="14" max="14" width="11.83203125" bestFit="1" customWidth="1"/>
    <col min="15" max="15" width="14" style="10" bestFit="1" customWidth="1"/>
    <col min="16" max="16" width="11.1640625" bestFit="1" customWidth="1"/>
    <col min="17" max="17" width="13.33203125" bestFit="1" customWidth="1"/>
    <col min="18" max="18" width="20" style="16" bestFit="1" customWidth="1"/>
    <col min="19" max="19" width="18.6640625" style="16" bestFit="1" customWidth="1"/>
    <col min="20" max="20" width="20.83203125" style="16" bestFit="1" customWidth="1"/>
    <col min="21" max="21" width="19.5" style="16" bestFit="1" customWidth="1"/>
    <col min="22" max="22" width="19.33203125" style="16" bestFit="1" customWidth="1"/>
    <col min="23" max="23" width="18" bestFit="1" customWidth="1"/>
    <col min="24" max="24" width="12.83203125" bestFit="1" customWidth="1"/>
    <col min="25" max="25" width="13" style="15" bestFit="1" customWidth="1"/>
  </cols>
  <sheetData>
    <row r="1" spans="1:25" x14ac:dyDescent="0.2">
      <c r="A1" t="s">
        <v>179</v>
      </c>
      <c r="B1" t="s">
        <v>180</v>
      </c>
      <c r="C1" t="s">
        <v>181</v>
      </c>
      <c r="D1" s="10" t="s">
        <v>182</v>
      </c>
      <c r="E1" s="10" t="s">
        <v>183</v>
      </c>
      <c r="F1" t="s">
        <v>184</v>
      </c>
      <c r="G1" t="s">
        <v>185</v>
      </c>
      <c r="H1" t="s">
        <v>186</v>
      </c>
      <c r="I1" t="s">
        <v>187</v>
      </c>
      <c r="J1" t="s">
        <v>320</v>
      </c>
      <c r="K1" t="s">
        <v>188</v>
      </c>
      <c r="L1" t="s">
        <v>189</v>
      </c>
      <c r="M1" t="s">
        <v>190</v>
      </c>
      <c r="N1" t="s">
        <v>191</v>
      </c>
      <c r="O1" s="10" t="s">
        <v>192</v>
      </c>
      <c r="P1" t="s">
        <v>193</v>
      </c>
      <c r="Q1" t="s">
        <v>194</v>
      </c>
      <c r="R1" s="16" t="s">
        <v>195</v>
      </c>
      <c r="S1" s="16" t="s">
        <v>196</v>
      </c>
      <c r="T1" s="16" t="s">
        <v>197</v>
      </c>
      <c r="U1" s="16" t="s">
        <v>198</v>
      </c>
      <c r="V1" s="16" t="s">
        <v>199</v>
      </c>
      <c r="W1" t="s">
        <v>200</v>
      </c>
      <c r="X1" t="s">
        <v>201</v>
      </c>
      <c r="Y1" s="15" t="s">
        <v>202</v>
      </c>
    </row>
    <row r="2" spans="1:25" x14ac:dyDescent="0.2">
      <c r="A2" s="1" t="s">
        <v>292</v>
      </c>
      <c r="B2" s="1" t="s">
        <v>294</v>
      </c>
      <c r="C2" s="6" t="s">
        <v>301</v>
      </c>
      <c r="D2" s="3">
        <v>46158</v>
      </c>
      <c r="E2" s="3">
        <v>46177</v>
      </c>
      <c r="F2" s="2">
        <f>E2-D2</f>
        <v>19</v>
      </c>
      <c r="G2" s="2" t="s">
        <v>164</v>
      </c>
      <c r="H2" s="1" t="s">
        <v>291</v>
      </c>
      <c r="I2" s="2" t="s">
        <v>2</v>
      </c>
      <c r="J2" s="1" t="s">
        <v>322</v>
      </c>
      <c r="K2" s="14">
        <v>28321.18</v>
      </c>
      <c r="L2" s="1" t="s">
        <v>309</v>
      </c>
      <c r="M2" s="3">
        <v>46158</v>
      </c>
      <c r="N2" s="1" t="s">
        <v>16</v>
      </c>
      <c r="O2" s="3">
        <v>46173</v>
      </c>
      <c r="P2" s="1" t="s">
        <v>312</v>
      </c>
      <c r="Q2" s="3"/>
      <c r="R2" s="4" t="s">
        <v>319</v>
      </c>
      <c r="S2" s="5" t="s">
        <v>319</v>
      </c>
      <c r="T2" s="4" t="s">
        <v>319</v>
      </c>
      <c r="U2" s="5" t="s">
        <v>319</v>
      </c>
      <c r="V2" s="5" t="s">
        <v>319</v>
      </c>
      <c r="W2" s="5">
        <f>4522.49-1858.39</f>
        <v>2664.0999999999995</v>
      </c>
      <c r="X2" s="1" t="s">
        <v>23</v>
      </c>
      <c r="Y2" s="4">
        <v>10368.049999999999</v>
      </c>
    </row>
    <row r="3" spans="1:25" x14ac:dyDescent="0.2">
      <c r="A3" s="1" t="s">
        <v>292</v>
      </c>
      <c r="B3" s="1" t="s">
        <v>295</v>
      </c>
      <c r="C3" s="6" t="s">
        <v>302</v>
      </c>
      <c r="D3" s="3">
        <v>46160</v>
      </c>
      <c r="E3" s="3">
        <v>46175</v>
      </c>
      <c r="F3" s="2">
        <f>E3-D3</f>
        <v>15</v>
      </c>
      <c r="G3" s="2" t="s">
        <v>164</v>
      </c>
      <c r="H3" s="1" t="s">
        <v>115</v>
      </c>
      <c r="I3" s="2" t="s">
        <v>24</v>
      </c>
      <c r="J3" s="1" t="s">
        <v>321</v>
      </c>
      <c r="K3" s="14">
        <v>29900.92</v>
      </c>
      <c r="L3" s="1" t="s">
        <v>310</v>
      </c>
      <c r="M3" s="3">
        <v>46160</v>
      </c>
      <c r="N3" s="1" t="s">
        <v>311</v>
      </c>
      <c r="O3" s="3">
        <v>46163</v>
      </c>
      <c r="P3" s="1" t="s">
        <v>115</v>
      </c>
      <c r="Q3" s="3"/>
      <c r="R3" s="4" t="s">
        <v>319</v>
      </c>
      <c r="S3" s="5" t="s">
        <v>319</v>
      </c>
      <c r="T3" s="4" t="s">
        <v>319</v>
      </c>
      <c r="U3" s="5" t="s">
        <v>319</v>
      </c>
      <c r="V3" s="5" t="s">
        <v>319</v>
      </c>
      <c r="W3" s="5" t="s">
        <v>319</v>
      </c>
      <c r="X3" s="1" t="s">
        <v>18</v>
      </c>
      <c r="Y3" s="4">
        <v>9445.24</v>
      </c>
    </row>
    <row r="4" spans="1:25" x14ac:dyDescent="0.2">
      <c r="A4" s="1" t="s">
        <v>292</v>
      </c>
      <c r="B4" s="1" t="s">
        <v>296</v>
      </c>
      <c r="C4" s="6" t="s">
        <v>303</v>
      </c>
      <c r="D4" s="3">
        <v>46158</v>
      </c>
      <c r="E4" s="3">
        <v>46175</v>
      </c>
      <c r="F4" s="2">
        <f>E4-D4</f>
        <v>17</v>
      </c>
      <c r="G4" s="2" t="s">
        <v>164</v>
      </c>
      <c r="H4" s="1" t="s">
        <v>17</v>
      </c>
      <c r="I4" s="2" t="s">
        <v>24</v>
      </c>
      <c r="J4" s="1" t="s">
        <v>321</v>
      </c>
      <c r="K4" s="14">
        <v>29900.92</v>
      </c>
      <c r="L4" s="1" t="s">
        <v>310</v>
      </c>
      <c r="M4" s="3">
        <v>46158</v>
      </c>
      <c r="N4" s="1" t="s">
        <v>311</v>
      </c>
      <c r="O4" s="3">
        <v>46161</v>
      </c>
      <c r="P4" s="1" t="s">
        <v>17</v>
      </c>
      <c r="Q4" s="3"/>
      <c r="R4" s="4" t="s">
        <v>319</v>
      </c>
      <c r="S4" s="5" t="s">
        <v>319</v>
      </c>
      <c r="T4" s="4" t="s">
        <v>319</v>
      </c>
      <c r="U4" s="5" t="s">
        <v>319</v>
      </c>
      <c r="V4" s="5" t="s">
        <v>319</v>
      </c>
      <c r="W4" s="5" t="s">
        <v>319</v>
      </c>
      <c r="X4" s="1" t="s">
        <v>23</v>
      </c>
      <c r="Y4" s="4">
        <v>10368</v>
      </c>
    </row>
    <row r="5" spans="1:25" x14ac:dyDescent="0.2">
      <c r="A5" s="1" t="s">
        <v>292</v>
      </c>
      <c r="B5" s="1" t="s">
        <v>297</v>
      </c>
      <c r="C5" s="6" t="s">
        <v>304</v>
      </c>
      <c r="D5" s="3">
        <v>46156</v>
      </c>
      <c r="E5" s="3">
        <v>46176</v>
      </c>
      <c r="F5" s="2">
        <f>E5-D5</f>
        <v>20</v>
      </c>
      <c r="G5" s="2" t="s">
        <v>164</v>
      </c>
      <c r="H5" s="1" t="s">
        <v>115</v>
      </c>
      <c r="I5" s="9" t="s">
        <v>25</v>
      </c>
      <c r="J5" s="1" t="s">
        <v>322</v>
      </c>
      <c r="K5" s="14">
        <v>16188.19</v>
      </c>
      <c r="L5" s="1" t="s">
        <v>309</v>
      </c>
      <c r="M5" s="3">
        <v>46156</v>
      </c>
      <c r="N5" s="1" t="s">
        <v>312</v>
      </c>
      <c r="O5" s="3">
        <v>46159</v>
      </c>
      <c r="P5" s="1" t="s">
        <v>115</v>
      </c>
      <c r="Q5" s="3"/>
      <c r="R5" s="4" t="s">
        <v>319</v>
      </c>
      <c r="S5" s="5" t="s">
        <v>319</v>
      </c>
      <c r="T5" s="4" t="s">
        <v>319</v>
      </c>
      <c r="U5" s="5" t="s">
        <v>319</v>
      </c>
      <c r="V5" s="5" t="s">
        <v>319</v>
      </c>
      <c r="W5" s="5" t="s">
        <v>319</v>
      </c>
      <c r="X5" s="1" t="s">
        <v>18</v>
      </c>
      <c r="Y5" s="4">
        <v>7596.96</v>
      </c>
    </row>
    <row r="6" spans="1:25" x14ac:dyDescent="0.2">
      <c r="A6" s="17" t="s">
        <v>40</v>
      </c>
      <c r="B6" s="17" t="s">
        <v>45</v>
      </c>
      <c r="C6" s="21"/>
      <c r="D6" s="26">
        <v>46165</v>
      </c>
      <c r="E6" s="26">
        <v>46176</v>
      </c>
      <c r="F6" s="27">
        <f>E6-D6</f>
        <v>11</v>
      </c>
      <c r="G6" s="27" t="s">
        <v>20</v>
      </c>
      <c r="H6" s="1" t="s">
        <v>115</v>
      </c>
      <c r="I6" s="27" t="s">
        <v>2</v>
      </c>
      <c r="J6" s="17" t="s">
        <v>321</v>
      </c>
      <c r="K6" s="30">
        <v>39478.58</v>
      </c>
      <c r="L6" s="17" t="s">
        <v>51</v>
      </c>
      <c r="M6" s="26">
        <v>46173</v>
      </c>
      <c r="N6" s="17" t="s">
        <v>53</v>
      </c>
      <c r="O6" s="26">
        <v>46165</v>
      </c>
      <c r="P6" s="17" t="s">
        <v>115</v>
      </c>
      <c r="Q6" s="26"/>
      <c r="R6" s="31">
        <v>12236.989999999998</v>
      </c>
      <c r="S6" s="32" t="s">
        <v>319</v>
      </c>
      <c r="T6" s="31" t="s">
        <v>319</v>
      </c>
      <c r="U6" s="32" t="s">
        <v>319</v>
      </c>
      <c r="V6" s="5" t="s">
        <v>319</v>
      </c>
      <c r="W6" s="5" t="s">
        <v>319</v>
      </c>
      <c r="X6" s="17" t="s">
        <v>18</v>
      </c>
      <c r="Y6" s="4">
        <v>10574.5</v>
      </c>
    </row>
    <row r="7" spans="1:25" x14ac:dyDescent="0.2">
      <c r="A7" s="17" t="s">
        <v>40</v>
      </c>
      <c r="B7" s="17" t="s">
        <v>59</v>
      </c>
      <c r="C7" s="22" t="s">
        <v>73</v>
      </c>
      <c r="D7" s="26">
        <v>46163</v>
      </c>
      <c r="E7" s="26">
        <v>46174</v>
      </c>
      <c r="F7" s="27">
        <f>E7-D7</f>
        <v>11</v>
      </c>
      <c r="G7" s="27" t="s">
        <v>164</v>
      </c>
      <c r="H7" s="1" t="s">
        <v>115</v>
      </c>
      <c r="I7" s="27" t="s">
        <v>2</v>
      </c>
      <c r="J7" s="17" t="s">
        <v>321</v>
      </c>
      <c r="K7" s="30">
        <v>43288.14</v>
      </c>
      <c r="L7" s="17" t="s">
        <v>11</v>
      </c>
      <c r="M7" s="26">
        <v>46163</v>
      </c>
      <c r="N7" s="17" t="s">
        <v>62</v>
      </c>
      <c r="O7" s="26">
        <v>46166</v>
      </c>
      <c r="P7" s="17" t="s">
        <v>115</v>
      </c>
      <c r="Q7" s="26"/>
      <c r="R7" s="31">
        <v>12140.93</v>
      </c>
      <c r="S7" s="32" t="s">
        <v>319</v>
      </c>
      <c r="T7" s="31" t="s">
        <v>319</v>
      </c>
      <c r="U7" s="32" t="s">
        <v>319</v>
      </c>
      <c r="V7" s="5" t="s">
        <v>319</v>
      </c>
      <c r="W7" s="5" t="s">
        <v>319</v>
      </c>
      <c r="X7" s="17" t="s">
        <v>18</v>
      </c>
      <c r="Y7" s="4">
        <v>10700.39</v>
      </c>
    </row>
    <row r="8" spans="1:25" x14ac:dyDescent="0.2">
      <c r="A8" s="17" t="s">
        <v>40</v>
      </c>
      <c r="B8" s="17" t="s">
        <v>7</v>
      </c>
      <c r="C8" s="22" t="s">
        <v>72</v>
      </c>
      <c r="D8" s="26">
        <v>46160</v>
      </c>
      <c r="E8" s="26">
        <v>46173</v>
      </c>
      <c r="F8" s="27">
        <f>E8-D8</f>
        <v>13</v>
      </c>
      <c r="G8" s="27" t="s">
        <v>164</v>
      </c>
      <c r="H8" s="1" t="s">
        <v>115</v>
      </c>
      <c r="I8" s="27" t="s">
        <v>2</v>
      </c>
      <c r="J8" s="1" t="s">
        <v>322</v>
      </c>
      <c r="K8" s="30">
        <v>39206.31</v>
      </c>
      <c r="L8" s="17" t="s">
        <v>11</v>
      </c>
      <c r="M8" s="26">
        <v>46160</v>
      </c>
      <c r="N8" s="17" t="s">
        <v>61</v>
      </c>
      <c r="O8" s="26">
        <v>46164</v>
      </c>
      <c r="P8" s="17" t="s">
        <v>115</v>
      </c>
      <c r="Q8" s="26"/>
      <c r="R8" s="31">
        <v>8651.44</v>
      </c>
      <c r="S8" s="32">
        <f>22947.68-19905.06</f>
        <v>3042.619999999999</v>
      </c>
      <c r="T8" s="31">
        <v>3306.88</v>
      </c>
      <c r="U8" s="32">
        <f>6418.79-5309.01</f>
        <v>1109.7799999999997</v>
      </c>
      <c r="V8" s="5" t="s">
        <v>319</v>
      </c>
      <c r="W8" s="5" t="s">
        <v>319</v>
      </c>
      <c r="X8" s="17" t="s">
        <v>18</v>
      </c>
      <c r="Y8" s="4">
        <v>10627</v>
      </c>
    </row>
    <row r="9" spans="1:25" x14ac:dyDescent="0.2">
      <c r="A9" s="17" t="s">
        <v>40</v>
      </c>
      <c r="B9" s="17" t="s">
        <v>47</v>
      </c>
      <c r="C9" s="21"/>
      <c r="D9" s="26">
        <v>46163</v>
      </c>
      <c r="E9" s="26">
        <v>46177</v>
      </c>
      <c r="F9" s="27">
        <f>E9-D9</f>
        <v>14</v>
      </c>
      <c r="G9" s="27" t="s">
        <v>20</v>
      </c>
      <c r="H9" s="1" t="s">
        <v>115</v>
      </c>
      <c r="I9" s="27" t="s">
        <v>2</v>
      </c>
      <c r="J9" s="17" t="s">
        <v>321</v>
      </c>
      <c r="K9" s="30">
        <v>41274.15</v>
      </c>
      <c r="L9" s="17" t="s">
        <v>10</v>
      </c>
      <c r="M9" s="26">
        <v>46173</v>
      </c>
      <c r="N9" s="17" t="s">
        <v>53</v>
      </c>
      <c r="O9" s="26">
        <v>46163</v>
      </c>
      <c r="P9" s="17" t="s">
        <v>115</v>
      </c>
      <c r="Q9" s="26"/>
      <c r="R9" s="31">
        <v>11713.699999999997</v>
      </c>
      <c r="S9" s="32" t="s">
        <v>319</v>
      </c>
      <c r="T9" s="31" t="s">
        <v>319</v>
      </c>
      <c r="U9" s="32" t="s">
        <v>319</v>
      </c>
      <c r="V9" s="5" t="s">
        <v>319</v>
      </c>
      <c r="W9" s="5" t="s">
        <v>319</v>
      </c>
      <c r="X9" s="17" t="s">
        <v>18</v>
      </c>
      <c r="Y9" s="4">
        <v>10573.94</v>
      </c>
    </row>
    <row r="10" spans="1:25" x14ac:dyDescent="0.2">
      <c r="A10" s="1" t="s">
        <v>40</v>
      </c>
      <c r="B10" s="1" t="s">
        <v>46</v>
      </c>
      <c r="C10" s="6"/>
      <c r="D10" s="3">
        <v>46165</v>
      </c>
      <c r="E10" s="3">
        <v>46179</v>
      </c>
      <c r="F10" s="2">
        <f>E10-D10</f>
        <v>14</v>
      </c>
      <c r="G10" s="2" t="s">
        <v>20</v>
      </c>
      <c r="H10" s="1" t="s">
        <v>115</v>
      </c>
      <c r="I10" s="2" t="s">
        <v>2</v>
      </c>
      <c r="J10" s="1" t="s">
        <v>322</v>
      </c>
      <c r="K10" s="14">
        <v>41516.129999999997</v>
      </c>
      <c r="L10" s="1" t="s">
        <v>10</v>
      </c>
      <c r="M10" s="3">
        <v>46176</v>
      </c>
      <c r="N10" s="1" t="s">
        <v>53</v>
      </c>
      <c r="O10" s="3">
        <v>46165</v>
      </c>
      <c r="P10" s="1" t="s">
        <v>115</v>
      </c>
      <c r="Q10" s="3"/>
      <c r="R10" s="4">
        <v>11162.260000000002</v>
      </c>
      <c r="S10" s="32" t="s">
        <v>319</v>
      </c>
      <c r="T10" s="31" t="s">
        <v>319</v>
      </c>
      <c r="U10" s="32" t="s">
        <v>319</v>
      </c>
      <c r="V10" s="5" t="s">
        <v>319</v>
      </c>
      <c r="W10" s="5" t="s">
        <v>319</v>
      </c>
      <c r="X10" s="1" t="s">
        <v>18</v>
      </c>
      <c r="Y10" s="4">
        <v>10574.49</v>
      </c>
    </row>
    <row r="11" spans="1:25" x14ac:dyDescent="0.2">
      <c r="A11" s="1" t="s">
        <v>40</v>
      </c>
      <c r="B11" s="1" t="s">
        <v>8</v>
      </c>
      <c r="C11" s="13" t="s">
        <v>74</v>
      </c>
      <c r="D11" s="3">
        <v>46162</v>
      </c>
      <c r="E11" s="3">
        <v>46177</v>
      </c>
      <c r="F11" s="2">
        <f>E11-D11</f>
        <v>15</v>
      </c>
      <c r="G11" s="2" t="s">
        <v>164</v>
      </c>
      <c r="H11" s="1" t="s">
        <v>115</v>
      </c>
      <c r="I11" s="2" t="s">
        <v>2</v>
      </c>
      <c r="J11" s="17" t="s">
        <v>321</v>
      </c>
      <c r="K11" s="14">
        <v>46380.56</v>
      </c>
      <c r="L11" s="1" t="s">
        <v>10</v>
      </c>
      <c r="M11" s="3">
        <v>46162</v>
      </c>
      <c r="N11" s="1" t="s">
        <v>62</v>
      </c>
      <c r="O11" s="3">
        <v>46166</v>
      </c>
      <c r="P11" s="1" t="s">
        <v>115</v>
      </c>
      <c r="Q11" s="3"/>
      <c r="R11" s="4">
        <f>40458.66-28928.87</f>
        <v>11529.790000000005</v>
      </c>
      <c r="S11" s="5">
        <f>33127.86-28928.87</f>
        <v>4198.9900000000016</v>
      </c>
      <c r="T11" s="4">
        <f>5229.57-3459.45</f>
        <v>1770.12</v>
      </c>
      <c r="U11" s="5">
        <f>4049.72-3459.45</f>
        <v>590.27</v>
      </c>
      <c r="V11" s="5" t="s">
        <v>319</v>
      </c>
      <c r="W11" s="5" t="s">
        <v>319</v>
      </c>
      <c r="X11" s="1" t="s">
        <v>18</v>
      </c>
      <c r="Y11" s="4">
        <v>10699.83</v>
      </c>
    </row>
    <row r="12" spans="1:25" x14ac:dyDescent="0.2">
      <c r="A12" s="1" t="s">
        <v>40</v>
      </c>
      <c r="B12" s="1" t="s">
        <v>4</v>
      </c>
      <c r="C12" s="13" t="s">
        <v>63</v>
      </c>
      <c r="D12" s="3">
        <v>46158</v>
      </c>
      <c r="E12" s="3">
        <v>46174</v>
      </c>
      <c r="F12" s="2">
        <f>E12-D12</f>
        <v>16</v>
      </c>
      <c r="G12" s="2" t="s">
        <v>164</v>
      </c>
      <c r="H12" s="1" t="s">
        <v>291</v>
      </c>
      <c r="I12" s="2" t="s">
        <v>2</v>
      </c>
      <c r="J12" s="17" t="s">
        <v>321</v>
      </c>
      <c r="K12" s="14">
        <v>32652.44</v>
      </c>
      <c r="L12" s="1" t="s">
        <v>10</v>
      </c>
      <c r="M12" s="3">
        <v>46158</v>
      </c>
      <c r="N12" s="1" t="s">
        <v>62</v>
      </c>
      <c r="O12" s="3">
        <v>46162</v>
      </c>
      <c r="P12" s="1" t="s">
        <v>55</v>
      </c>
      <c r="Q12" s="3">
        <v>46166</v>
      </c>
      <c r="R12" s="4">
        <v>5394.94</v>
      </c>
      <c r="S12" s="5">
        <f>10776.16-8977.84</f>
        <v>1798.3199999999997</v>
      </c>
      <c r="T12" s="4">
        <v>2144.13</v>
      </c>
      <c r="U12" s="5">
        <f>4606.95-3891.78</f>
        <v>715.16999999999962</v>
      </c>
      <c r="V12" s="5" t="s">
        <v>319</v>
      </c>
      <c r="W12" s="5" t="s">
        <v>319</v>
      </c>
      <c r="X12" s="1" t="s">
        <v>18</v>
      </c>
      <c r="Y12" s="4">
        <v>10700.28</v>
      </c>
    </row>
    <row r="13" spans="1:25" x14ac:dyDescent="0.2">
      <c r="A13" s="1" t="s">
        <v>40</v>
      </c>
      <c r="B13" s="1" t="s">
        <v>6</v>
      </c>
      <c r="C13" s="6" t="s">
        <v>305</v>
      </c>
      <c r="D13" s="3">
        <v>46158</v>
      </c>
      <c r="E13" s="3">
        <v>46174</v>
      </c>
      <c r="F13" s="2">
        <f>E13-D13</f>
        <v>16</v>
      </c>
      <c r="G13" s="2" t="s">
        <v>164</v>
      </c>
      <c r="H13" s="1" t="s">
        <v>291</v>
      </c>
      <c r="I13" s="2" t="s">
        <v>2</v>
      </c>
      <c r="J13" s="1" t="s">
        <v>322</v>
      </c>
      <c r="K13" s="14">
        <v>28666.6</v>
      </c>
      <c r="L13" s="1" t="s">
        <v>50</v>
      </c>
      <c r="M13" s="3">
        <v>46158</v>
      </c>
      <c r="N13" s="1" t="s">
        <v>61</v>
      </c>
      <c r="O13" s="3">
        <v>46162</v>
      </c>
      <c r="P13" s="1" t="s">
        <v>54</v>
      </c>
      <c r="Q13" s="3">
        <v>46166</v>
      </c>
      <c r="R13" s="4">
        <f>8786.63-5620.24</f>
        <v>3166.3899999999994</v>
      </c>
      <c r="S13" s="5">
        <f>6675.68-5620.24</f>
        <v>1055.4400000000005</v>
      </c>
      <c r="T13" s="4">
        <f>3716.77-1996.05</f>
        <v>1720.72</v>
      </c>
      <c r="U13" s="5">
        <f>2569.63-1996.05</f>
        <v>573.58000000000015</v>
      </c>
      <c r="V13" s="5" t="s">
        <v>319</v>
      </c>
      <c r="W13" s="5" t="s">
        <v>319</v>
      </c>
      <c r="X13" s="1" t="s">
        <v>18</v>
      </c>
      <c r="Y13" s="4">
        <v>10626.89</v>
      </c>
    </row>
    <row r="14" spans="1:25" x14ac:dyDescent="0.2">
      <c r="A14" s="1" t="s">
        <v>40</v>
      </c>
      <c r="B14" s="1" t="s">
        <v>44</v>
      </c>
      <c r="C14" s="13" t="s">
        <v>64</v>
      </c>
      <c r="D14" s="3">
        <v>46161</v>
      </c>
      <c r="E14" s="3">
        <v>46177</v>
      </c>
      <c r="F14" s="2">
        <f>E14-D14</f>
        <v>16</v>
      </c>
      <c r="G14" s="2" t="s">
        <v>20</v>
      </c>
      <c r="H14" s="1" t="s">
        <v>291</v>
      </c>
      <c r="I14" s="2" t="s">
        <v>2</v>
      </c>
      <c r="J14" s="17" t="s">
        <v>321</v>
      </c>
      <c r="K14" s="14">
        <v>28547.58</v>
      </c>
      <c r="L14" s="1" t="s">
        <v>50</v>
      </c>
      <c r="M14" s="3">
        <v>46173</v>
      </c>
      <c r="N14" s="1" t="s">
        <v>53</v>
      </c>
      <c r="O14" s="3">
        <v>46161</v>
      </c>
      <c r="P14" s="1" t="s">
        <v>55</v>
      </c>
      <c r="Q14" s="3">
        <v>46165</v>
      </c>
      <c r="R14" s="4">
        <f>9646.02-6122.05</f>
        <v>3523.9700000000003</v>
      </c>
      <c r="S14" s="5">
        <f>7296.69-6122.05</f>
        <v>1174.6399999999994</v>
      </c>
      <c r="T14" s="4">
        <f>3716.77-1996.05</f>
        <v>1720.72</v>
      </c>
      <c r="U14" s="5">
        <f>2569.63-1996.05</f>
        <v>573.58000000000015</v>
      </c>
      <c r="V14" s="5" t="s">
        <v>319</v>
      </c>
      <c r="W14" s="5" t="s">
        <v>319</v>
      </c>
      <c r="X14" s="1" t="s">
        <v>18</v>
      </c>
      <c r="Y14" s="4">
        <v>10700.39</v>
      </c>
    </row>
    <row r="15" spans="1:25" x14ac:dyDescent="0.2">
      <c r="A15" s="1" t="s">
        <v>40</v>
      </c>
      <c r="B15" s="1" t="s">
        <v>9</v>
      </c>
      <c r="C15" s="13" t="s">
        <v>64</v>
      </c>
      <c r="D15" s="3">
        <v>46157</v>
      </c>
      <c r="E15" s="3">
        <v>46174</v>
      </c>
      <c r="F15" s="2">
        <f>E15-D15</f>
        <v>17</v>
      </c>
      <c r="G15" s="2" t="s">
        <v>164</v>
      </c>
      <c r="H15" s="1" t="s">
        <v>291</v>
      </c>
      <c r="I15" s="2" t="s">
        <v>2</v>
      </c>
      <c r="J15" s="1" t="s">
        <v>322</v>
      </c>
      <c r="K15" s="14">
        <v>30267.4</v>
      </c>
      <c r="L15" s="1" t="s">
        <v>10</v>
      </c>
      <c r="M15" s="3">
        <v>46157</v>
      </c>
      <c r="N15" s="1" t="s">
        <v>53</v>
      </c>
      <c r="O15" s="3">
        <v>46161</v>
      </c>
      <c r="P15" s="1" t="s">
        <v>60</v>
      </c>
      <c r="Q15" s="3">
        <v>46165</v>
      </c>
      <c r="R15" s="4">
        <f>10047.93-7014.87</f>
        <v>3033.0600000000004</v>
      </c>
      <c r="S15" s="5">
        <f>8360.78-7014.87</f>
        <v>1345.9100000000008</v>
      </c>
      <c r="T15" s="4">
        <f>5229.57-3459.45</f>
        <v>1770.12</v>
      </c>
      <c r="U15" s="5">
        <f>4049.72-3459.45</f>
        <v>590.27</v>
      </c>
      <c r="V15" s="5" t="s">
        <v>319</v>
      </c>
      <c r="W15" s="5" t="s">
        <v>319</v>
      </c>
      <c r="X15" s="1" t="s">
        <v>23</v>
      </c>
      <c r="Y15" s="4">
        <v>10600.3</v>
      </c>
    </row>
    <row r="16" spans="1:25" x14ac:dyDescent="0.2">
      <c r="A16" s="1" t="s">
        <v>40</v>
      </c>
      <c r="B16" s="18" t="s">
        <v>5</v>
      </c>
      <c r="C16" s="13" t="s">
        <v>65</v>
      </c>
      <c r="D16" s="3">
        <v>46162</v>
      </c>
      <c r="E16" s="3">
        <v>46179</v>
      </c>
      <c r="F16" s="2">
        <f>E16-D16</f>
        <v>17</v>
      </c>
      <c r="G16" s="2" t="s">
        <v>164</v>
      </c>
      <c r="H16" s="1" t="s">
        <v>291</v>
      </c>
      <c r="I16" s="2" t="s">
        <v>2</v>
      </c>
      <c r="J16" s="1" t="s">
        <v>322</v>
      </c>
      <c r="K16" s="14">
        <v>27904.19</v>
      </c>
      <c r="L16" s="1" t="s">
        <v>50</v>
      </c>
      <c r="M16" s="3">
        <v>46162</v>
      </c>
      <c r="N16" s="1" t="s">
        <v>53</v>
      </c>
      <c r="O16" s="3">
        <v>46174</v>
      </c>
      <c r="P16" s="1" t="s">
        <v>54</v>
      </c>
      <c r="Q16" s="3">
        <v>46165</v>
      </c>
      <c r="R16" s="4">
        <f>8440.29-5356.81</f>
        <v>3083.4800000000005</v>
      </c>
      <c r="S16" s="5">
        <f>6384.6-5356.81</f>
        <v>1027.79</v>
      </c>
      <c r="T16" s="4">
        <f>2787.59-1497.04</f>
        <v>1290.5500000000002</v>
      </c>
      <c r="U16" s="5">
        <f>1927.23-1497.04</f>
        <v>430.19000000000005</v>
      </c>
      <c r="V16" s="5" t="s">
        <v>319</v>
      </c>
      <c r="W16" s="5" t="s">
        <v>319</v>
      </c>
      <c r="X16" s="1" t="s">
        <v>18</v>
      </c>
      <c r="Y16" s="4">
        <v>10940.65</v>
      </c>
    </row>
    <row r="17" spans="1:29" x14ac:dyDescent="0.2">
      <c r="A17" s="1" t="s">
        <v>40</v>
      </c>
      <c r="B17" s="1" t="s">
        <v>3</v>
      </c>
      <c r="C17" s="13" t="s">
        <v>71</v>
      </c>
      <c r="D17" s="3">
        <v>46162</v>
      </c>
      <c r="E17" s="3">
        <v>46179</v>
      </c>
      <c r="F17" s="2">
        <f>E17-D17</f>
        <v>17</v>
      </c>
      <c r="G17" s="2" t="s">
        <v>164</v>
      </c>
      <c r="H17" s="1" t="s">
        <v>115</v>
      </c>
      <c r="I17" s="2" t="s">
        <v>2</v>
      </c>
      <c r="J17" s="1" t="s">
        <v>322</v>
      </c>
      <c r="K17" s="14">
        <v>36339.01</v>
      </c>
      <c r="L17" s="1" t="s">
        <v>49</v>
      </c>
      <c r="M17" s="3">
        <v>46162</v>
      </c>
      <c r="N17" s="1" t="s">
        <v>61</v>
      </c>
      <c r="O17" s="3">
        <v>46166</v>
      </c>
      <c r="P17" s="1" t="s">
        <v>115</v>
      </c>
      <c r="Q17" s="3"/>
      <c r="R17" s="4">
        <f>29288.75-19319.66</f>
        <v>9969.09</v>
      </c>
      <c r="S17" s="5">
        <f>22947.62-19319.66</f>
        <v>3627.9599999999991</v>
      </c>
      <c r="T17" s="4">
        <f>4658.05-3027.11</f>
        <v>1630.94</v>
      </c>
      <c r="U17" s="5">
        <f>3571.22-3027.11</f>
        <v>544.10999999999967</v>
      </c>
      <c r="V17" s="5" t="s">
        <v>319</v>
      </c>
      <c r="W17" s="5" t="s">
        <v>319</v>
      </c>
      <c r="X17" s="1" t="s">
        <v>18</v>
      </c>
      <c r="Y17" s="4">
        <v>10700.39</v>
      </c>
    </row>
    <row r="18" spans="1:29" x14ac:dyDescent="0.2">
      <c r="A18" s="1" t="s">
        <v>40</v>
      </c>
      <c r="B18" s="1" t="s">
        <v>42</v>
      </c>
      <c r="C18" s="13" t="s">
        <v>70</v>
      </c>
      <c r="D18" s="3">
        <v>46165</v>
      </c>
      <c r="E18" s="3">
        <v>46183</v>
      </c>
      <c r="F18" s="2">
        <f>E18-D18</f>
        <v>18</v>
      </c>
      <c r="G18" s="2" t="s">
        <v>20</v>
      </c>
      <c r="H18" s="1" t="s">
        <v>291</v>
      </c>
      <c r="I18" s="2" t="s">
        <v>2</v>
      </c>
      <c r="J18" s="1" t="s">
        <v>322</v>
      </c>
      <c r="K18" s="14">
        <v>30607.35</v>
      </c>
      <c r="L18" s="1" t="s">
        <v>10</v>
      </c>
      <c r="M18" s="3">
        <v>46179</v>
      </c>
      <c r="N18" s="1" t="s">
        <v>53</v>
      </c>
      <c r="O18" s="3">
        <v>46174</v>
      </c>
      <c r="P18" s="1" t="s">
        <v>54</v>
      </c>
      <c r="Q18" s="3">
        <v>46165</v>
      </c>
      <c r="R18" s="4">
        <f>10047.47-7014.91</f>
        <v>3032.5599999999995</v>
      </c>
      <c r="S18" s="5">
        <f>8360.77-7014.91</f>
        <v>1345.8600000000006</v>
      </c>
      <c r="T18" s="4">
        <f>4423.25-3027.11</f>
        <v>1396.1399999999999</v>
      </c>
      <c r="U18" s="5">
        <f>3492.48-3027.11</f>
        <v>465.36999999999989</v>
      </c>
      <c r="V18" s="5" t="s">
        <v>319</v>
      </c>
      <c r="W18" s="5" t="s">
        <v>319</v>
      </c>
      <c r="X18" s="1" t="s">
        <v>18</v>
      </c>
      <c r="Y18" s="4">
        <v>10574.49</v>
      </c>
    </row>
    <row r="19" spans="1:29" x14ac:dyDescent="0.2">
      <c r="A19" s="1" t="s">
        <v>40</v>
      </c>
      <c r="B19" s="1" t="s">
        <v>48</v>
      </c>
      <c r="C19" s="6"/>
      <c r="D19" s="3">
        <v>46165</v>
      </c>
      <c r="E19" s="3">
        <v>46183</v>
      </c>
      <c r="F19" s="2">
        <f>E19-D19</f>
        <v>18</v>
      </c>
      <c r="G19" s="2" t="s">
        <v>20</v>
      </c>
      <c r="H19" s="1" t="s">
        <v>115</v>
      </c>
      <c r="I19" s="2" t="s">
        <v>2</v>
      </c>
      <c r="J19" s="1" t="s">
        <v>322</v>
      </c>
      <c r="K19" s="14">
        <v>42272.88</v>
      </c>
      <c r="L19" s="1" t="s">
        <v>10</v>
      </c>
      <c r="M19" s="3">
        <v>46179</v>
      </c>
      <c r="N19" s="1" t="s">
        <v>53</v>
      </c>
      <c r="O19" s="3">
        <v>46165</v>
      </c>
      <c r="P19" s="1" t="s">
        <v>115</v>
      </c>
      <c r="Q19" s="3"/>
      <c r="R19" s="4">
        <v>10707.57</v>
      </c>
      <c r="S19" s="32" t="s">
        <v>319</v>
      </c>
      <c r="T19" s="31" t="s">
        <v>319</v>
      </c>
      <c r="U19" s="32" t="s">
        <v>319</v>
      </c>
      <c r="V19" s="5" t="s">
        <v>319</v>
      </c>
      <c r="W19" s="5" t="s">
        <v>319</v>
      </c>
      <c r="X19" s="1" t="s">
        <v>18</v>
      </c>
      <c r="Y19" s="4">
        <v>10573.93</v>
      </c>
    </row>
    <row r="20" spans="1:29" x14ac:dyDescent="0.2">
      <c r="A20" s="17" t="s">
        <v>40</v>
      </c>
      <c r="B20" s="17" t="s">
        <v>43</v>
      </c>
      <c r="C20" s="21"/>
      <c r="D20" s="26">
        <v>46164</v>
      </c>
      <c r="E20" s="26">
        <v>46183</v>
      </c>
      <c r="F20" s="27">
        <f>E20-D20</f>
        <v>19</v>
      </c>
      <c r="G20" s="27" t="s">
        <v>20</v>
      </c>
      <c r="H20" s="1" t="s">
        <v>291</v>
      </c>
      <c r="I20" s="27" t="s">
        <v>2</v>
      </c>
      <c r="J20" s="1" t="s">
        <v>322</v>
      </c>
      <c r="K20" s="30">
        <v>30148.17</v>
      </c>
      <c r="L20" s="17" t="s">
        <v>10</v>
      </c>
      <c r="M20" s="26">
        <v>46179</v>
      </c>
      <c r="N20" s="17" t="s">
        <v>53</v>
      </c>
      <c r="O20" s="26">
        <v>46174</v>
      </c>
      <c r="P20" s="17" t="s">
        <v>55</v>
      </c>
      <c r="Q20" s="26">
        <v>2205</v>
      </c>
      <c r="R20" s="31">
        <v>4429.1900000000023</v>
      </c>
      <c r="S20" s="32" t="s">
        <v>319</v>
      </c>
      <c r="T20" s="31" t="s">
        <v>319</v>
      </c>
      <c r="U20" s="32" t="s">
        <v>319</v>
      </c>
      <c r="V20" s="5" t="s">
        <v>319</v>
      </c>
      <c r="W20" s="5" t="s">
        <v>319</v>
      </c>
      <c r="X20" s="17" t="s">
        <v>18</v>
      </c>
      <c r="Y20" s="4">
        <v>10575.62</v>
      </c>
    </row>
    <row r="21" spans="1:29" x14ac:dyDescent="0.2">
      <c r="A21" s="17" t="s">
        <v>40</v>
      </c>
      <c r="B21" s="17" t="s">
        <v>58</v>
      </c>
      <c r="C21" s="22" t="s">
        <v>69</v>
      </c>
      <c r="D21" s="26">
        <v>46154</v>
      </c>
      <c r="E21" s="26">
        <v>46174</v>
      </c>
      <c r="F21" s="27">
        <f>E21-D21</f>
        <v>20</v>
      </c>
      <c r="G21" s="27" t="s">
        <v>164</v>
      </c>
      <c r="H21" s="1" t="s">
        <v>291</v>
      </c>
      <c r="I21" s="27" t="s">
        <v>2</v>
      </c>
      <c r="J21" s="1" t="s">
        <v>322</v>
      </c>
      <c r="K21" s="30">
        <v>26847.51</v>
      </c>
      <c r="L21" s="17" t="s">
        <v>50</v>
      </c>
      <c r="M21" s="26">
        <v>46154</v>
      </c>
      <c r="N21" s="17" t="s">
        <v>53</v>
      </c>
      <c r="O21" s="26">
        <v>46158</v>
      </c>
      <c r="P21" s="17" t="s">
        <v>54</v>
      </c>
      <c r="Q21" s="26">
        <v>46163</v>
      </c>
      <c r="R21" s="31">
        <f>5224.94-3316.17</f>
        <v>1908.7699999999995</v>
      </c>
      <c r="S21" s="32">
        <f>3951.96-3316.17</f>
        <v>635.79</v>
      </c>
      <c r="T21" s="31">
        <f>3716.77-1996.05</f>
        <v>1720.72</v>
      </c>
      <c r="U21" s="32">
        <f>2569.63-1996.05</f>
        <v>573.58000000000015</v>
      </c>
      <c r="V21" s="5" t="s">
        <v>319</v>
      </c>
      <c r="W21" s="5" t="s">
        <v>319</v>
      </c>
      <c r="X21" s="17" t="s">
        <v>23</v>
      </c>
      <c r="Y21" s="4">
        <v>8105</v>
      </c>
    </row>
    <row r="22" spans="1:29" x14ac:dyDescent="0.2">
      <c r="A22" s="1" t="s">
        <v>40</v>
      </c>
      <c r="B22" s="1" t="s">
        <v>56</v>
      </c>
      <c r="C22" s="13" t="s">
        <v>66</v>
      </c>
      <c r="D22" s="3">
        <v>46162</v>
      </c>
      <c r="E22" s="3">
        <v>46176</v>
      </c>
      <c r="F22" s="2">
        <f>E22-D22</f>
        <v>14</v>
      </c>
      <c r="G22" s="2" t="s">
        <v>164</v>
      </c>
      <c r="H22" s="1" t="s">
        <v>115</v>
      </c>
      <c r="I22" s="2" t="s">
        <v>14</v>
      </c>
      <c r="J22" s="1" t="s">
        <v>322</v>
      </c>
      <c r="K22" s="14">
        <v>25020.880000000001</v>
      </c>
      <c r="L22" s="1" t="s">
        <v>50</v>
      </c>
      <c r="M22" s="3">
        <v>46162</v>
      </c>
      <c r="N22" s="1" t="s">
        <v>52</v>
      </c>
      <c r="O22" s="3">
        <v>46165</v>
      </c>
      <c r="P22" s="1" t="s">
        <v>115</v>
      </c>
      <c r="Q22" s="3"/>
      <c r="R22" s="4">
        <v>5572.37</v>
      </c>
      <c r="S22" s="5">
        <f>9166.14-7268.32</f>
        <v>1897.8199999999997</v>
      </c>
      <c r="T22" s="4">
        <v>1290.55</v>
      </c>
      <c r="U22" s="5">
        <f>1927.23-1497.04</f>
        <v>430.19000000000005</v>
      </c>
      <c r="V22" s="5" t="s">
        <v>319</v>
      </c>
      <c r="W22" s="5" t="s">
        <v>319</v>
      </c>
      <c r="X22" s="1" t="s">
        <v>18</v>
      </c>
      <c r="Y22" s="4">
        <v>10700.96</v>
      </c>
      <c r="AC22" s="4"/>
    </row>
    <row r="23" spans="1:29" x14ac:dyDescent="0.2">
      <c r="A23" s="1" t="s">
        <v>40</v>
      </c>
      <c r="B23" s="1" t="s">
        <v>212</v>
      </c>
      <c r="C23" s="12" t="s">
        <v>244</v>
      </c>
      <c r="D23" s="3">
        <v>46158</v>
      </c>
      <c r="E23" s="3">
        <v>46173</v>
      </c>
      <c r="F23" s="2">
        <f>E23-D23</f>
        <v>15</v>
      </c>
      <c r="G23" s="2" t="s">
        <v>164</v>
      </c>
      <c r="H23" s="1" t="s">
        <v>115</v>
      </c>
      <c r="I23" s="2" t="s">
        <v>14</v>
      </c>
      <c r="J23" s="1" t="s">
        <v>322</v>
      </c>
      <c r="K23" s="14">
        <v>26356.98</v>
      </c>
      <c r="L23" s="1" t="s">
        <v>49</v>
      </c>
      <c r="M23" s="3">
        <v>46158</v>
      </c>
      <c r="N23" s="1" t="s">
        <v>52</v>
      </c>
      <c r="O23" s="3">
        <v>46162</v>
      </c>
      <c r="P23" s="1" t="s">
        <v>115</v>
      </c>
      <c r="Q23" s="3"/>
      <c r="R23" s="4">
        <v>5572.37</v>
      </c>
      <c r="S23" s="5">
        <f>9166.14-7268.32</f>
        <v>1897.8199999999997</v>
      </c>
      <c r="T23" s="4">
        <v>2155.36</v>
      </c>
      <c r="U23" s="5">
        <f>4036.11-3318.15</f>
        <v>717.96</v>
      </c>
      <c r="V23" s="5" t="s">
        <v>319</v>
      </c>
      <c r="W23" s="5" t="s">
        <v>319</v>
      </c>
      <c r="X23" s="1"/>
      <c r="Y23" s="4">
        <v>10000</v>
      </c>
    </row>
    <row r="24" spans="1:29" x14ac:dyDescent="0.2">
      <c r="A24" s="1" t="s">
        <v>40</v>
      </c>
      <c r="B24" s="1" t="s">
        <v>213</v>
      </c>
      <c r="C24" s="13" t="s">
        <v>245</v>
      </c>
      <c r="D24" s="3">
        <v>46159</v>
      </c>
      <c r="E24" s="3">
        <v>46174</v>
      </c>
      <c r="F24" s="2">
        <f>E24-D24</f>
        <v>15</v>
      </c>
      <c r="G24" s="2" t="s">
        <v>164</v>
      </c>
      <c r="H24" s="1" t="s">
        <v>115</v>
      </c>
      <c r="I24" s="2" t="s">
        <v>14</v>
      </c>
      <c r="J24" s="1" t="s">
        <v>322</v>
      </c>
      <c r="K24" s="14">
        <v>25878.23</v>
      </c>
      <c r="L24" s="1" t="s">
        <v>49</v>
      </c>
      <c r="M24" s="3">
        <v>46159</v>
      </c>
      <c r="N24" s="1" t="s">
        <v>52</v>
      </c>
      <c r="O24" s="3">
        <v>46162</v>
      </c>
      <c r="P24" s="1" t="s">
        <v>115</v>
      </c>
      <c r="Q24" s="3"/>
      <c r="R24" s="4">
        <f>12840.69-7268.32</f>
        <v>5572.3700000000008</v>
      </c>
      <c r="S24" s="5">
        <f>9166.14-7268.32</f>
        <v>1897.8199999999997</v>
      </c>
      <c r="T24" s="4">
        <f>4425.35-2677.73</f>
        <v>1747.6200000000003</v>
      </c>
      <c r="U24" s="5">
        <f>3260.01-2677.73</f>
        <v>582.2800000000002</v>
      </c>
      <c r="V24" s="5" t="s">
        <v>319</v>
      </c>
      <c r="W24" s="5" t="s">
        <v>319</v>
      </c>
      <c r="X24" s="1"/>
      <c r="Y24" s="4">
        <v>10000</v>
      </c>
    </row>
    <row r="25" spans="1:29" x14ac:dyDescent="0.2">
      <c r="A25" s="1" t="s">
        <v>40</v>
      </c>
      <c r="B25" s="1" t="s">
        <v>41</v>
      </c>
      <c r="C25" s="13" t="s">
        <v>67</v>
      </c>
      <c r="D25" s="3">
        <v>46162</v>
      </c>
      <c r="E25" s="3">
        <v>46178</v>
      </c>
      <c r="F25" s="2">
        <f>E25-D25</f>
        <v>16</v>
      </c>
      <c r="G25" s="2" t="s">
        <v>20</v>
      </c>
      <c r="H25" s="1" t="s">
        <v>115</v>
      </c>
      <c r="I25" s="2" t="s">
        <v>14</v>
      </c>
      <c r="J25" s="1" t="s">
        <v>322</v>
      </c>
      <c r="K25" s="14">
        <v>26518.65</v>
      </c>
      <c r="L25" s="1" t="s">
        <v>49</v>
      </c>
      <c r="M25" s="3">
        <v>46174</v>
      </c>
      <c r="N25" s="1" t="s">
        <v>52</v>
      </c>
      <c r="O25" s="3">
        <v>46162</v>
      </c>
      <c r="P25" s="1" t="s">
        <v>115</v>
      </c>
      <c r="Q25" s="3"/>
      <c r="R25" s="4">
        <f>12840.69-7268.32</f>
        <v>5572.3700000000008</v>
      </c>
      <c r="S25" s="5">
        <f>9166.14-7268.32</f>
        <v>1897.8199999999997</v>
      </c>
      <c r="T25" s="4">
        <f>5473.51-3318.15</f>
        <v>2155.36</v>
      </c>
      <c r="U25" s="5">
        <f>4032.11-3318.15</f>
        <v>713.96</v>
      </c>
      <c r="V25" s="5" t="s">
        <v>319</v>
      </c>
      <c r="W25" s="5" t="s">
        <v>319</v>
      </c>
      <c r="X25" s="1" t="s">
        <v>18</v>
      </c>
      <c r="Y25" s="4">
        <v>8079.53</v>
      </c>
    </row>
    <row r="26" spans="1:29" x14ac:dyDescent="0.2">
      <c r="A26" s="1" t="s">
        <v>40</v>
      </c>
      <c r="B26" s="1" t="s">
        <v>222</v>
      </c>
      <c r="C26" s="13" t="s">
        <v>252</v>
      </c>
      <c r="D26" s="3">
        <v>46161</v>
      </c>
      <c r="E26" s="3">
        <v>46177</v>
      </c>
      <c r="F26" s="2">
        <f>E26-D26</f>
        <v>16</v>
      </c>
      <c r="G26" s="2" t="s">
        <v>20</v>
      </c>
      <c r="H26" s="1" t="s">
        <v>115</v>
      </c>
      <c r="I26" s="2" t="s">
        <v>14</v>
      </c>
      <c r="J26" s="1" t="s">
        <v>322</v>
      </c>
      <c r="K26" s="14">
        <v>26896.85</v>
      </c>
      <c r="L26" s="1" t="s">
        <v>10</v>
      </c>
      <c r="M26" s="3">
        <v>46173</v>
      </c>
      <c r="N26" s="1" t="s">
        <v>52</v>
      </c>
      <c r="O26" s="3">
        <v>46161</v>
      </c>
      <c r="P26" s="1" t="s">
        <v>115</v>
      </c>
      <c r="Q26" s="3"/>
      <c r="R26" s="4">
        <f>12840.69-7268.32</f>
        <v>5572.3700000000008</v>
      </c>
      <c r="S26" s="5">
        <f>9166.14-7268.32</f>
        <v>1897.8199999999997</v>
      </c>
      <c r="T26" s="4">
        <f>6113.94-3696.35</f>
        <v>2417.5899999999997</v>
      </c>
      <c r="U26" s="5">
        <f>4501.97-3696.35</f>
        <v>805.62000000000035</v>
      </c>
      <c r="V26" s="5" t="s">
        <v>319</v>
      </c>
      <c r="W26" s="5" t="s">
        <v>319</v>
      </c>
      <c r="X26" s="1"/>
      <c r="Y26" s="4">
        <v>10000</v>
      </c>
    </row>
    <row r="27" spans="1:29" x14ac:dyDescent="0.2">
      <c r="A27" s="17" t="s">
        <v>40</v>
      </c>
      <c r="B27" s="17" t="s">
        <v>228</v>
      </c>
      <c r="C27" s="23" t="s">
        <v>258</v>
      </c>
      <c r="D27" s="26">
        <v>46162</v>
      </c>
      <c r="E27" s="26">
        <v>46181</v>
      </c>
      <c r="F27" s="27">
        <f>E27-D27</f>
        <v>19</v>
      </c>
      <c r="G27" s="27" t="s">
        <v>20</v>
      </c>
      <c r="H27" s="1" t="s">
        <v>115</v>
      </c>
      <c r="I27" s="27" t="s">
        <v>14</v>
      </c>
      <c r="J27" s="1" t="s">
        <v>322</v>
      </c>
      <c r="K27" s="30">
        <v>26247.21</v>
      </c>
      <c r="L27" s="17" t="s">
        <v>49</v>
      </c>
      <c r="M27" s="26">
        <v>46177</v>
      </c>
      <c r="N27" s="17" t="s">
        <v>52</v>
      </c>
      <c r="O27" s="26">
        <v>46162</v>
      </c>
      <c r="P27" s="17" t="s">
        <v>115</v>
      </c>
      <c r="Q27" s="26"/>
      <c r="R27" s="31">
        <f>12840.69-7268.32</f>
        <v>5572.3700000000008</v>
      </c>
      <c r="S27" s="32">
        <f>9166.14-7268.32</f>
        <v>1897.8199999999997</v>
      </c>
      <c r="T27" s="31">
        <f>4192.65-2561.72</f>
        <v>1630.9299999999998</v>
      </c>
      <c r="U27" s="32">
        <f>3104.43-2561.72</f>
        <v>542.71</v>
      </c>
      <c r="V27" s="5" t="s">
        <v>319</v>
      </c>
      <c r="W27" s="5" t="s">
        <v>319</v>
      </c>
      <c r="X27" s="17" t="s">
        <v>178</v>
      </c>
      <c r="Y27" s="4">
        <v>10388.24</v>
      </c>
    </row>
    <row r="28" spans="1:29" x14ac:dyDescent="0.2">
      <c r="A28" s="17" t="s">
        <v>40</v>
      </c>
      <c r="B28" s="17" t="s">
        <v>57</v>
      </c>
      <c r="C28" s="22" t="s">
        <v>68</v>
      </c>
      <c r="D28" s="26">
        <v>46159</v>
      </c>
      <c r="E28" s="26">
        <v>46179</v>
      </c>
      <c r="F28" s="27">
        <f>E28-D28</f>
        <v>20</v>
      </c>
      <c r="G28" s="27" t="s">
        <v>164</v>
      </c>
      <c r="H28" s="1" t="s">
        <v>115</v>
      </c>
      <c r="I28" s="27" t="s">
        <v>14</v>
      </c>
      <c r="J28" s="1" t="s">
        <v>322</v>
      </c>
      <c r="K28" s="30">
        <v>26686.52</v>
      </c>
      <c r="L28" s="17" t="s">
        <v>49</v>
      </c>
      <c r="M28" s="26">
        <v>46159</v>
      </c>
      <c r="N28" s="17" t="s">
        <v>52</v>
      </c>
      <c r="O28" s="26">
        <v>46162</v>
      </c>
      <c r="P28" s="17" t="s">
        <v>115</v>
      </c>
      <c r="Q28" s="26"/>
      <c r="R28" s="31">
        <f>12840.69-7268.32</f>
        <v>5572.3700000000008</v>
      </c>
      <c r="S28" s="32" t="s">
        <v>319</v>
      </c>
      <c r="T28" s="31">
        <f>4425.35-2677.73</f>
        <v>1747.6200000000003</v>
      </c>
      <c r="U28" s="32" t="s">
        <v>319</v>
      </c>
      <c r="V28" s="5" t="s">
        <v>319</v>
      </c>
      <c r="W28" s="5" t="s">
        <v>319</v>
      </c>
      <c r="X28" s="17" t="s">
        <v>18</v>
      </c>
      <c r="Y28" s="4">
        <v>10702.09</v>
      </c>
    </row>
    <row r="29" spans="1:29" x14ac:dyDescent="0.2">
      <c r="A29" s="1" t="s">
        <v>293</v>
      </c>
      <c r="B29" s="1" t="s">
        <v>298</v>
      </c>
      <c r="C29" s="24" t="s">
        <v>306</v>
      </c>
      <c r="D29" s="3">
        <v>46160</v>
      </c>
      <c r="E29" s="3">
        <v>46173</v>
      </c>
      <c r="F29" s="2">
        <f>E29-D29</f>
        <v>13</v>
      </c>
      <c r="G29" s="2" t="s">
        <v>164</v>
      </c>
      <c r="H29" s="1" t="s">
        <v>17</v>
      </c>
      <c r="I29" s="2" t="s">
        <v>2</v>
      </c>
      <c r="J29" s="17" t="s">
        <v>321</v>
      </c>
      <c r="K29" s="14">
        <v>45849.279999999999</v>
      </c>
      <c r="L29" s="1" t="s">
        <v>313</v>
      </c>
      <c r="M29" s="3">
        <v>46160</v>
      </c>
      <c r="N29" s="1" t="s">
        <v>314</v>
      </c>
      <c r="O29" s="3">
        <v>46163</v>
      </c>
      <c r="P29" s="1" t="s">
        <v>17</v>
      </c>
      <c r="Q29" s="3"/>
      <c r="R29" s="4">
        <f>43416.85-28417.79</f>
        <v>14999.059999999998</v>
      </c>
      <c r="S29" s="5">
        <f>31681.52-28417.79</f>
        <v>3263.7299999999996</v>
      </c>
      <c r="T29" s="4">
        <f>6034.85-3439.25</f>
        <v>2595.6000000000004</v>
      </c>
      <c r="U29" s="5">
        <f>4304.44-3439.25</f>
        <v>865.1899999999996</v>
      </c>
      <c r="V29" s="5" t="s">
        <v>319</v>
      </c>
      <c r="W29" s="5" t="s">
        <v>319</v>
      </c>
      <c r="X29" s="1" t="s">
        <v>317</v>
      </c>
      <c r="Y29" s="4">
        <v>10000</v>
      </c>
    </row>
    <row r="30" spans="1:29" x14ac:dyDescent="0.2">
      <c r="A30" s="17" t="s">
        <v>293</v>
      </c>
      <c r="B30" s="17" t="s">
        <v>299</v>
      </c>
      <c r="C30" s="23" t="s">
        <v>307</v>
      </c>
      <c r="D30" s="26">
        <v>46159</v>
      </c>
      <c r="E30" s="26">
        <v>46174</v>
      </c>
      <c r="F30" s="27">
        <f>E30-D30</f>
        <v>15</v>
      </c>
      <c r="G30" s="27" t="s">
        <v>164</v>
      </c>
      <c r="H30" s="1" t="s">
        <v>17</v>
      </c>
      <c r="I30" s="27" t="s">
        <v>24</v>
      </c>
      <c r="J30" s="17" t="s">
        <v>321</v>
      </c>
      <c r="K30" s="30">
        <v>29152.34</v>
      </c>
      <c r="L30" s="17" t="s">
        <v>315</v>
      </c>
      <c r="M30" s="26">
        <v>46159</v>
      </c>
      <c r="N30" s="17" t="s">
        <v>32</v>
      </c>
      <c r="O30" s="26">
        <v>46163</v>
      </c>
      <c r="P30" s="17" t="s">
        <v>17</v>
      </c>
      <c r="Q30" s="26"/>
      <c r="R30" s="4" t="s">
        <v>319</v>
      </c>
      <c r="S30" s="5" t="s">
        <v>319</v>
      </c>
      <c r="T30" s="4" t="s">
        <v>319</v>
      </c>
      <c r="U30" s="5" t="s">
        <v>319</v>
      </c>
      <c r="V30" s="5" t="s">
        <v>319</v>
      </c>
      <c r="W30" s="5" t="s">
        <v>319</v>
      </c>
      <c r="X30" s="17" t="s">
        <v>289</v>
      </c>
      <c r="Y30" s="4">
        <v>10318.33</v>
      </c>
    </row>
    <row r="31" spans="1:29" x14ac:dyDescent="0.2">
      <c r="A31" s="17" t="s">
        <v>293</v>
      </c>
      <c r="B31" s="17" t="s">
        <v>300</v>
      </c>
      <c r="C31" s="23" t="s">
        <v>308</v>
      </c>
      <c r="D31" s="26">
        <v>46160</v>
      </c>
      <c r="E31" s="26">
        <v>46178</v>
      </c>
      <c r="F31" s="27">
        <f>E31-D31</f>
        <v>18</v>
      </c>
      <c r="G31" s="27" t="s">
        <v>164</v>
      </c>
      <c r="H31" s="1" t="s">
        <v>17</v>
      </c>
      <c r="I31" s="27" t="s">
        <v>25</v>
      </c>
      <c r="J31" s="1" t="s">
        <v>322</v>
      </c>
      <c r="K31" s="30">
        <v>23360.65</v>
      </c>
      <c r="L31" s="17" t="s">
        <v>29</v>
      </c>
      <c r="M31" s="26">
        <v>46160</v>
      </c>
      <c r="N31" s="17" t="s">
        <v>316</v>
      </c>
      <c r="O31" s="26">
        <v>46164</v>
      </c>
      <c r="P31" s="17" t="s">
        <v>17</v>
      </c>
      <c r="Q31" s="26"/>
      <c r="R31" s="31">
        <f>10141.92-5070.96</f>
        <v>5070.96</v>
      </c>
      <c r="S31" s="32">
        <f>6761.29-5070.96</f>
        <v>1690.33</v>
      </c>
      <c r="T31" s="31">
        <f>5021.75-2813.73</f>
        <v>2208.02</v>
      </c>
      <c r="U31" s="32">
        <f>3670.89-2813.73</f>
        <v>857.15999999999985</v>
      </c>
      <c r="V31" s="5" t="s">
        <v>319</v>
      </c>
      <c r="W31" s="5" t="s">
        <v>319</v>
      </c>
      <c r="X31" s="17" t="s">
        <v>18</v>
      </c>
      <c r="Y31" s="4">
        <v>10500.2</v>
      </c>
    </row>
    <row r="32" spans="1:29" x14ac:dyDescent="0.2">
      <c r="A32" s="1" t="s">
        <v>83</v>
      </c>
      <c r="B32" s="8" t="s">
        <v>12</v>
      </c>
      <c r="C32" s="12" t="s">
        <v>89</v>
      </c>
      <c r="D32" s="3">
        <v>46160</v>
      </c>
      <c r="E32" s="3">
        <v>46174</v>
      </c>
      <c r="F32" s="2">
        <f>E32-D32</f>
        <v>14</v>
      </c>
      <c r="G32" s="2" t="s">
        <v>164</v>
      </c>
      <c r="H32" s="1" t="s">
        <v>115</v>
      </c>
      <c r="I32" s="2" t="s">
        <v>14</v>
      </c>
      <c r="J32" s="17" t="s">
        <v>321</v>
      </c>
      <c r="K32" s="14">
        <v>35725.19</v>
      </c>
      <c r="L32" s="1" t="s">
        <v>19</v>
      </c>
      <c r="M32" s="3">
        <v>46160</v>
      </c>
      <c r="N32" s="1" t="s">
        <v>90</v>
      </c>
      <c r="O32" s="3">
        <v>46163</v>
      </c>
      <c r="P32" s="1" t="s">
        <v>115</v>
      </c>
      <c r="Q32" s="3"/>
      <c r="R32" s="4">
        <v>9681.6200000000008</v>
      </c>
      <c r="S32" s="5">
        <f>20255.16-17020.17</f>
        <v>3234.9900000000016</v>
      </c>
      <c r="T32" s="4">
        <v>3058.02</v>
      </c>
      <c r="U32" s="5">
        <f>5823.61-4804.27</f>
        <v>1019.3399999999992</v>
      </c>
      <c r="V32" s="5" t="s">
        <v>319</v>
      </c>
      <c r="W32" s="5" t="s">
        <v>319</v>
      </c>
      <c r="X32" s="1" t="s">
        <v>23</v>
      </c>
      <c r="Y32" s="4">
        <v>9293.9</v>
      </c>
    </row>
    <row r="33" spans="1:25" x14ac:dyDescent="0.2">
      <c r="A33" s="17" t="s">
        <v>83</v>
      </c>
      <c r="B33" s="19" t="s">
        <v>85</v>
      </c>
      <c r="C33" s="25" t="s">
        <v>87</v>
      </c>
      <c r="D33" s="26">
        <v>46158</v>
      </c>
      <c r="E33" s="26">
        <v>46177</v>
      </c>
      <c r="F33" s="27">
        <f>E33-D33</f>
        <v>19</v>
      </c>
      <c r="G33" s="27" t="s">
        <v>164</v>
      </c>
      <c r="H33" s="1" t="s">
        <v>115</v>
      </c>
      <c r="I33" s="27" t="s">
        <v>24</v>
      </c>
      <c r="J33" s="17" t="s">
        <v>321</v>
      </c>
      <c r="K33" s="30">
        <v>26704.03</v>
      </c>
      <c r="L33" s="17" t="s">
        <v>91</v>
      </c>
      <c r="M33" s="26">
        <v>46158</v>
      </c>
      <c r="N33" s="17" t="s">
        <v>92</v>
      </c>
      <c r="O33" s="26">
        <v>46162</v>
      </c>
      <c r="P33" s="17" t="s">
        <v>115</v>
      </c>
      <c r="Q33" s="26"/>
      <c r="R33" s="31">
        <v>9569.51</v>
      </c>
      <c r="S33" s="5" t="s">
        <v>319</v>
      </c>
      <c r="T33" s="31">
        <v>2390.16</v>
      </c>
      <c r="U33" s="5" t="s">
        <v>319</v>
      </c>
      <c r="V33" s="5" t="s">
        <v>319</v>
      </c>
      <c r="W33" s="5" t="s">
        <v>319</v>
      </c>
      <c r="X33" s="17" t="s">
        <v>18</v>
      </c>
      <c r="Y33" s="4">
        <v>6454.47</v>
      </c>
    </row>
    <row r="34" spans="1:25" x14ac:dyDescent="0.2">
      <c r="A34" s="17" t="s">
        <v>83</v>
      </c>
      <c r="B34" s="19" t="s">
        <v>229</v>
      </c>
      <c r="C34" s="25" t="s">
        <v>259</v>
      </c>
      <c r="D34" s="26">
        <v>46158</v>
      </c>
      <c r="E34" s="26">
        <v>46177</v>
      </c>
      <c r="F34" s="27">
        <f>E34-D34</f>
        <v>19</v>
      </c>
      <c r="G34" s="27" t="s">
        <v>164</v>
      </c>
      <c r="H34" s="1" t="s">
        <v>115</v>
      </c>
      <c r="I34" s="27" t="s">
        <v>24</v>
      </c>
      <c r="J34" s="17" t="s">
        <v>322</v>
      </c>
      <c r="K34" s="30">
        <v>24914.39</v>
      </c>
      <c r="L34" s="17" t="s">
        <v>113</v>
      </c>
      <c r="M34" s="26">
        <v>46158</v>
      </c>
      <c r="N34" s="17" t="s">
        <v>286</v>
      </c>
      <c r="O34" s="26">
        <v>46162</v>
      </c>
      <c r="P34" s="17" t="s">
        <v>115</v>
      </c>
      <c r="Q34" s="26"/>
      <c r="R34" s="31">
        <f>5650.03-5110.54</f>
        <v>539.48999999999978</v>
      </c>
      <c r="S34" s="32">
        <f>5582.85-5110.54</f>
        <v>472.3100000000004</v>
      </c>
      <c r="T34" s="4" t="s">
        <v>319</v>
      </c>
      <c r="U34" s="5" t="s">
        <v>319</v>
      </c>
      <c r="V34" s="5" t="s">
        <v>319</v>
      </c>
      <c r="W34" s="5" t="s">
        <v>319</v>
      </c>
      <c r="X34" s="17" t="s">
        <v>18</v>
      </c>
      <c r="Y34" s="4">
        <v>6454.47</v>
      </c>
    </row>
    <row r="35" spans="1:25" x14ac:dyDescent="0.2">
      <c r="A35" s="17" t="s">
        <v>83</v>
      </c>
      <c r="B35" s="20" t="s">
        <v>116</v>
      </c>
      <c r="C35" s="25" t="s">
        <v>117</v>
      </c>
      <c r="D35" s="26">
        <v>46158</v>
      </c>
      <c r="E35" s="26">
        <v>46177</v>
      </c>
      <c r="F35" s="27">
        <f>E35-D35</f>
        <v>19</v>
      </c>
      <c r="G35" s="27" t="s">
        <v>164</v>
      </c>
      <c r="H35" s="1" t="s">
        <v>115</v>
      </c>
      <c r="I35" s="27" t="s">
        <v>24</v>
      </c>
      <c r="J35" s="1" t="s">
        <v>322</v>
      </c>
      <c r="K35" s="30">
        <v>24823.74</v>
      </c>
      <c r="L35" s="17" t="s">
        <v>113</v>
      </c>
      <c r="M35" s="26">
        <v>46158</v>
      </c>
      <c r="N35" s="17" t="s">
        <v>93</v>
      </c>
      <c r="O35" s="26">
        <v>46162</v>
      </c>
      <c r="P35" s="17" t="s">
        <v>115</v>
      </c>
      <c r="Q35" s="26"/>
      <c r="R35" s="31">
        <f>7631.39-5270.52</f>
        <v>2360.87</v>
      </c>
      <c r="S35" s="32">
        <f>6653.5-5270.52</f>
        <v>1382.9799999999996</v>
      </c>
      <c r="T35" s="4" t="s">
        <v>319</v>
      </c>
      <c r="U35" s="5" t="s">
        <v>319</v>
      </c>
      <c r="V35" s="5" t="s">
        <v>319</v>
      </c>
      <c r="W35" s="5" t="s">
        <v>319</v>
      </c>
      <c r="X35" s="17" t="s">
        <v>18</v>
      </c>
      <c r="Y35" s="4">
        <v>6454.47</v>
      </c>
    </row>
    <row r="36" spans="1:25" x14ac:dyDescent="0.2">
      <c r="A36" s="17" t="s">
        <v>83</v>
      </c>
      <c r="B36" s="19" t="s">
        <v>86</v>
      </c>
      <c r="C36" s="25" t="s">
        <v>88</v>
      </c>
      <c r="D36" s="26">
        <v>46154</v>
      </c>
      <c r="E36" s="26">
        <v>46175</v>
      </c>
      <c r="F36" s="27">
        <f>E36-D36</f>
        <v>21</v>
      </c>
      <c r="G36" s="27" t="s">
        <v>164</v>
      </c>
      <c r="H36" s="1" t="s">
        <v>115</v>
      </c>
      <c r="I36" s="27" t="s">
        <v>24</v>
      </c>
      <c r="J36" s="17" t="s">
        <v>321</v>
      </c>
      <c r="K36" s="30">
        <v>27979.98</v>
      </c>
      <c r="L36" s="17" t="s">
        <v>91</v>
      </c>
      <c r="M36" s="26">
        <v>46154</v>
      </c>
      <c r="N36" s="17" t="s">
        <v>92</v>
      </c>
      <c r="O36" s="26">
        <v>46158</v>
      </c>
      <c r="P36" s="17" t="s">
        <v>115</v>
      </c>
      <c r="Q36" s="26"/>
      <c r="R36" s="31">
        <v>10845.42</v>
      </c>
      <c r="S36" s="5" t="s">
        <v>319</v>
      </c>
      <c r="T36" s="31">
        <v>2390.16</v>
      </c>
      <c r="U36" s="5" t="s">
        <v>319</v>
      </c>
      <c r="V36" s="5" t="s">
        <v>319</v>
      </c>
      <c r="W36" s="5" t="s">
        <v>319</v>
      </c>
      <c r="X36" s="17" t="s">
        <v>18</v>
      </c>
      <c r="Y36" s="4">
        <v>7932.19</v>
      </c>
    </row>
    <row r="37" spans="1:25" x14ac:dyDescent="0.2">
      <c r="A37" s="17" t="s">
        <v>83</v>
      </c>
      <c r="B37" s="20" t="s">
        <v>118</v>
      </c>
      <c r="C37" s="25" t="s">
        <v>119</v>
      </c>
      <c r="D37" s="26">
        <v>46154</v>
      </c>
      <c r="E37" s="26">
        <v>46175</v>
      </c>
      <c r="F37" s="27">
        <f>E37-D37</f>
        <v>21</v>
      </c>
      <c r="G37" s="27" t="s">
        <v>164</v>
      </c>
      <c r="H37" s="1" t="s">
        <v>115</v>
      </c>
      <c r="I37" s="27" t="s">
        <v>24</v>
      </c>
      <c r="J37" s="1" t="s">
        <v>322</v>
      </c>
      <c r="K37" s="30">
        <v>25353.19</v>
      </c>
      <c r="L37" s="17" t="s">
        <v>113</v>
      </c>
      <c r="M37" s="26">
        <v>46154</v>
      </c>
      <c r="N37" s="17" t="s">
        <v>93</v>
      </c>
      <c r="O37" s="26">
        <v>46158</v>
      </c>
      <c r="P37" s="17" t="s">
        <v>115</v>
      </c>
      <c r="Q37" s="26"/>
      <c r="R37" s="31">
        <f>7887.92-5378.93</f>
        <v>2508.9899999999998</v>
      </c>
      <c r="S37" s="32">
        <f>6786.55-5378.93</f>
        <v>1407.62</v>
      </c>
      <c r="T37" s="4" t="s">
        <v>319</v>
      </c>
      <c r="U37" s="5" t="s">
        <v>319</v>
      </c>
      <c r="V37" s="5" t="s">
        <v>319</v>
      </c>
      <c r="W37" s="5" t="s">
        <v>319</v>
      </c>
      <c r="X37" s="17" t="s">
        <v>18</v>
      </c>
      <c r="Y37" s="4">
        <v>7932.19</v>
      </c>
    </row>
    <row r="38" spans="1:25" x14ac:dyDescent="0.2">
      <c r="A38" s="17" t="s">
        <v>83</v>
      </c>
      <c r="B38" s="20" t="s">
        <v>84</v>
      </c>
      <c r="C38" s="25" t="s">
        <v>120</v>
      </c>
      <c r="D38" s="26">
        <v>46154</v>
      </c>
      <c r="E38" s="26">
        <v>46175</v>
      </c>
      <c r="F38" s="27">
        <f>E38-D38</f>
        <v>21</v>
      </c>
      <c r="G38" s="27" t="s">
        <v>164</v>
      </c>
      <c r="H38" s="1" t="s">
        <v>115</v>
      </c>
      <c r="I38" s="29" t="s">
        <v>24</v>
      </c>
      <c r="J38" s="1" t="s">
        <v>322</v>
      </c>
      <c r="K38" s="30">
        <v>25891.52</v>
      </c>
      <c r="L38" s="17" t="s">
        <v>113</v>
      </c>
      <c r="M38" s="26">
        <v>46154</v>
      </c>
      <c r="N38" s="17" t="s">
        <v>286</v>
      </c>
      <c r="O38" s="26">
        <v>46158</v>
      </c>
      <c r="P38" s="17" t="s">
        <v>115</v>
      </c>
      <c r="Q38" s="26"/>
      <c r="R38" s="31">
        <f>6552.51-5791.95</f>
        <v>760.5600000000004</v>
      </c>
      <c r="S38" s="32">
        <f>6474.56-5791.95</f>
        <v>682.61000000000058</v>
      </c>
      <c r="T38" s="4" t="s">
        <v>319</v>
      </c>
      <c r="U38" s="5" t="s">
        <v>319</v>
      </c>
      <c r="V38" s="5" t="s">
        <v>319</v>
      </c>
      <c r="W38" s="5" t="s">
        <v>319</v>
      </c>
      <c r="X38" s="17" t="s">
        <v>18</v>
      </c>
      <c r="Y38" s="4">
        <v>7932.19</v>
      </c>
    </row>
    <row r="39" spans="1:25" x14ac:dyDescent="0.2">
      <c r="A39" s="17" t="s">
        <v>83</v>
      </c>
      <c r="B39" s="20" t="s">
        <v>232</v>
      </c>
      <c r="C39" s="25" t="s">
        <v>262</v>
      </c>
      <c r="D39" s="26">
        <v>46154</v>
      </c>
      <c r="E39" s="26">
        <v>46175</v>
      </c>
      <c r="F39" s="27">
        <f>E39-D39</f>
        <v>21</v>
      </c>
      <c r="G39" s="27" t="s">
        <v>164</v>
      </c>
      <c r="H39" s="1" t="s">
        <v>115</v>
      </c>
      <c r="I39" s="27" t="s">
        <v>24</v>
      </c>
      <c r="J39" s="1" t="s">
        <v>322</v>
      </c>
      <c r="K39" s="30">
        <v>25891.52</v>
      </c>
      <c r="L39" s="17" t="s">
        <v>287</v>
      </c>
      <c r="M39" s="26">
        <v>46154</v>
      </c>
      <c r="N39" s="17" t="s">
        <v>286</v>
      </c>
      <c r="O39" s="26">
        <v>46158</v>
      </c>
      <c r="P39" s="17" t="s">
        <v>115</v>
      </c>
      <c r="Q39" s="26"/>
      <c r="R39" s="4" t="s">
        <v>319</v>
      </c>
      <c r="S39" s="5" t="s">
        <v>319</v>
      </c>
      <c r="T39" s="4" t="s">
        <v>319</v>
      </c>
      <c r="U39" s="5" t="s">
        <v>319</v>
      </c>
      <c r="V39" s="5" t="s">
        <v>319</v>
      </c>
      <c r="W39" s="5" t="s">
        <v>319</v>
      </c>
      <c r="X39" s="17" t="s">
        <v>18</v>
      </c>
      <c r="Y39" s="4">
        <v>7932.19</v>
      </c>
    </row>
    <row r="40" spans="1:25" x14ac:dyDescent="0.2">
      <c r="A40" s="17" t="s">
        <v>83</v>
      </c>
      <c r="B40" s="20" t="s">
        <v>233</v>
      </c>
      <c r="C40" s="25" t="s">
        <v>263</v>
      </c>
      <c r="D40" s="26">
        <v>46158</v>
      </c>
      <c r="E40" s="26">
        <v>46180</v>
      </c>
      <c r="F40" s="27">
        <f>E40-D40</f>
        <v>22</v>
      </c>
      <c r="G40" s="27" t="s">
        <v>164</v>
      </c>
      <c r="H40" s="1" t="s">
        <v>115</v>
      </c>
      <c r="I40" s="27" t="s">
        <v>24</v>
      </c>
      <c r="J40" s="1" t="s">
        <v>322</v>
      </c>
      <c r="K40" s="30">
        <v>25906.65</v>
      </c>
      <c r="L40" s="17" t="s">
        <v>287</v>
      </c>
      <c r="M40" s="26">
        <v>46158</v>
      </c>
      <c r="N40" s="17" t="s">
        <v>286</v>
      </c>
      <c r="O40" s="26">
        <v>46162</v>
      </c>
      <c r="P40" s="17" t="s">
        <v>115</v>
      </c>
      <c r="Q40" s="26"/>
      <c r="R40" s="31">
        <f>6672.42-5902.29</f>
        <v>770.13000000000011</v>
      </c>
      <c r="S40" s="32">
        <f>6596.26-5902.29</f>
        <v>693.97000000000025</v>
      </c>
      <c r="T40" s="4" t="s">
        <v>319</v>
      </c>
      <c r="U40" s="5" t="s">
        <v>319</v>
      </c>
      <c r="V40" s="5" t="s">
        <v>319</v>
      </c>
      <c r="W40" s="5" t="s">
        <v>319</v>
      </c>
      <c r="X40" s="17" t="s">
        <v>23</v>
      </c>
      <c r="Y40" s="4">
        <v>8126.87</v>
      </c>
    </row>
    <row r="41" spans="1:25" x14ac:dyDescent="0.2">
      <c r="A41" s="17" t="s">
        <v>83</v>
      </c>
      <c r="B41" s="19" t="s">
        <v>234</v>
      </c>
      <c r="C41" s="25" t="s">
        <v>264</v>
      </c>
      <c r="D41" s="26">
        <v>46158</v>
      </c>
      <c r="E41" s="26">
        <v>46180</v>
      </c>
      <c r="F41" s="27">
        <f>E41-D41</f>
        <v>22</v>
      </c>
      <c r="G41" s="27" t="s">
        <v>164</v>
      </c>
      <c r="H41" s="1" t="s">
        <v>115</v>
      </c>
      <c r="I41" s="27" t="s">
        <v>24</v>
      </c>
      <c r="J41" s="1" t="s">
        <v>322</v>
      </c>
      <c r="K41" s="30">
        <v>25918.77</v>
      </c>
      <c r="L41" s="17" t="s">
        <v>113</v>
      </c>
      <c r="M41" s="26">
        <v>46158</v>
      </c>
      <c r="N41" s="17" t="s">
        <v>286</v>
      </c>
      <c r="O41" s="26">
        <v>46162</v>
      </c>
      <c r="P41" s="17" t="s">
        <v>115</v>
      </c>
      <c r="Q41" s="26"/>
      <c r="R41" s="31">
        <f>6361.64-6039.73</f>
        <v>321.91000000000076</v>
      </c>
      <c r="S41" s="32">
        <f>6289.03-6039.73</f>
        <v>249.30000000000018</v>
      </c>
      <c r="T41" s="4" t="s">
        <v>319</v>
      </c>
      <c r="U41" s="5" t="s">
        <v>319</v>
      </c>
      <c r="V41" s="5" t="s">
        <v>319</v>
      </c>
      <c r="W41" s="5" t="s">
        <v>319</v>
      </c>
      <c r="X41" s="17" t="s">
        <v>23</v>
      </c>
      <c r="Y41" s="4">
        <v>8126.87</v>
      </c>
    </row>
    <row r="42" spans="1:25" x14ac:dyDescent="0.2">
      <c r="A42" s="17" t="s">
        <v>83</v>
      </c>
      <c r="B42" s="20" t="s">
        <v>235</v>
      </c>
      <c r="C42" s="25" t="s">
        <v>265</v>
      </c>
      <c r="D42" s="26">
        <v>46154</v>
      </c>
      <c r="E42" s="26">
        <v>46177</v>
      </c>
      <c r="F42" s="27">
        <f>E42-D42</f>
        <v>23</v>
      </c>
      <c r="G42" s="27" t="s">
        <v>164</v>
      </c>
      <c r="H42" s="1" t="s">
        <v>115</v>
      </c>
      <c r="I42" s="27" t="s">
        <v>24</v>
      </c>
      <c r="J42" s="1" t="s">
        <v>322</v>
      </c>
      <c r="K42" s="30">
        <v>26748.39</v>
      </c>
      <c r="L42" s="17" t="s">
        <v>113</v>
      </c>
      <c r="M42" s="26">
        <v>46154</v>
      </c>
      <c r="N42" s="17" t="s">
        <v>286</v>
      </c>
      <c r="O42" s="26">
        <v>46158</v>
      </c>
      <c r="P42" s="17" t="s">
        <v>115</v>
      </c>
      <c r="Q42" s="26"/>
      <c r="R42" s="4" t="s">
        <v>319</v>
      </c>
      <c r="S42" s="5" t="s">
        <v>319</v>
      </c>
      <c r="T42" s="4" t="s">
        <v>319</v>
      </c>
      <c r="U42" s="5" t="s">
        <v>319</v>
      </c>
      <c r="V42" s="5" t="s">
        <v>319</v>
      </c>
      <c r="W42" s="5" t="s">
        <v>319</v>
      </c>
      <c r="X42" s="17" t="s">
        <v>18</v>
      </c>
      <c r="Y42" s="4">
        <v>7932.19</v>
      </c>
    </row>
    <row r="43" spans="1:25" x14ac:dyDescent="0.2">
      <c r="A43" s="17" t="s">
        <v>83</v>
      </c>
      <c r="B43" s="20" t="s">
        <v>236</v>
      </c>
      <c r="C43" s="25" t="s">
        <v>266</v>
      </c>
      <c r="D43" s="26">
        <v>46154</v>
      </c>
      <c r="E43" s="26">
        <v>46177</v>
      </c>
      <c r="F43" s="27">
        <f>E43-D43</f>
        <v>23</v>
      </c>
      <c r="G43" s="27" t="s">
        <v>164</v>
      </c>
      <c r="H43" s="1" t="s">
        <v>115</v>
      </c>
      <c r="I43" s="27" t="s">
        <v>24</v>
      </c>
      <c r="J43" s="1" t="s">
        <v>322</v>
      </c>
      <c r="K43" s="30">
        <v>26748.37</v>
      </c>
      <c r="L43" s="17" t="s">
        <v>113</v>
      </c>
      <c r="M43" s="26">
        <v>46154</v>
      </c>
      <c r="N43" s="17" t="s">
        <v>286</v>
      </c>
      <c r="O43" s="26">
        <v>46158</v>
      </c>
      <c r="P43" s="17" t="s">
        <v>115</v>
      </c>
      <c r="Q43" s="26"/>
      <c r="R43" s="31">
        <f>7323.39-6473.35</f>
        <v>850.04</v>
      </c>
      <c r="S43" s="32">
        <f>7236.29-6473.35</f>
        <v>762.9399999999996</v>
      </c>
      <c r="T43" s="4" t="s">
        <v>319</v>
      </c>
      <c r="U43" s="5" t="s">
        <v>319</v>
      </c>
      <c r="V43" s="5" t="s">
        <v>319</v>
      </c>
      <c r="W43" s="5" t="s">
        <v>319</v>
      </c>
      <c r="X43" s="17" t="s">
        <v>18</v>
      </c>
      <c r="Y43" s="4">
        <v>7932.19</v>
      </c>
    </row>
    <row r="44" spans="1:25" x14ac:dyDescent="0.2">
      <c r="A44" s="17" t="s">
        <v>83</v>
      </c>
      <c r="B44" s="19" t="s">
        <v>237</v>
      </c>
      <c r="C44" s="25" t="s">
        <v>267</v>
      </c>
      <c r="D44" s="26">
        <v>46154</v>
      </c>
      <c r="E44" s="26">
        <v>46180</v>
      </c>
      <c r="F44" s="27">
        <f>E44-D44</f>
        <v>26</v>
      </c>
      <c r="G44" s="27" t="s">
        <v>164</v>
      </c>
      <c r="H44" s="1" t="s">
        <v>115</v>
      </c>
      <c r="I44" s="27" t="s">
        <v>24</v>
      </c>
      <c r="J44" s="1" t="s">
        <v>322</v>
      </c>
      <c r="K44" s="30">
        <v>27878.080000000002</v>
      </c>
      <c r="L44" s="17" t="s">
        <v>113</v>
      </c>
      <c r="M44" s="26">
        <v>46154</v>
      </c>
      <c r="N44" s="17" t="s">
        <v>286</v>
      </c>
      <c r="O44" s="26">
        <v>46158</v>
      </c>
      <c r="P44" s="17" t="s">
        <v>115</v>
      </c>
      <c r="Q44" s="26"/>
      <c r="R44" s="31">
        <f>7798.13-7402.54</f>
        <v>395.59000000000015</v>
      </c>
      <c r="S44" s="5" t="s">
        <v>319</v>
      </c>
      <c r="T44" s="4" t="s">
        <v>319</v>
      </c>
      <c r="U44" s="5" t="s">
        <v>319</v>
      </c>
      <c r="V44" s="5" t="s">
        <v>319</v>
      </c>
      <c r="W44" s="5" t="s">
        <v>319</v>
      </c>
      <c r="X44" s="17" t="s">
        <v>290</v>
      </c>
      <c r="Y44" s="4">
        <v>6451.37</v>
      </c>
    </row>
    <row r="45" spans="1:25" x14ac:dyDescent="0.2">
      <c r="A45" s="17" t="s">
        <v>107</v>
      </c>
      <c r="B45" s="17" t="s">
        <v>208</v>
      </c>
      <c r="C45" s="23" t="s">
        <v>177</v>
      </c>
      <c r="D45" s="26">
        <v>46160</v>
      </c>
      <c r="E45" s="26">
        <v>46173</v>
      </c>
      <c r="F45" s="27">
        <f>E45-D45</f>
        <v>13</v>
      </c>
      <c r="G45" s="27" t="s">
        <v>164</v>
      </c>
      <c r="H45" s="1" t="s">
        <v>17</v>
      </c>
      <c r="I45" s="27" t="s">
        <v>2</v>
      </c>
      <c r="J45" s="1" t="s">
        <v>322</v>
      </c>
      <c r="K45" s="30">
        <v>40706</v>
      </c>
      <c r="L45" s="17" t="s">
        <v>11</v>
      </c>
      <c r="M45" s="26">
        <v>46160</v>
      </c>
      <c r="N45" s="17" t="s">
        <v>16</v>
      </c>
      <c r="O45" s="26">
        <v>46163</v>
      </c>
      <c r="P45" s="17" t="s">
        <v>17</v>
      </c>
      <c r="Q45" s="26"/>
      <c r="R45" s="4" t="s">
        <v>319</v>
      </c>
      <c r="S45" s="5" t="s">
        <v>319</v>
      </c>
      <c r="T45" s="4" t="s">
        <v>319</v>
      </c>
      <c r="U45" s="5" t="s">
        <v>319</v>
      </c>
      <c r="V45" s="5" t="s">
        <v>319</v>
      </c>
      <c r="W45" s="5" t="s">
        <v>319</v>
      </c>
      <c r="X45" s="17" t="s">
        <v>18</v>
      </c>
      <c r="Y45" s="4">
        <v>7599.62</v>
      </c>
    </row>
    <row r="46" spans="1:25" x14ac:dyDescent="0.2">
      <c r="A46" s="17" t="s">
        <v>107</v>
      </c>
      <c r="B46" s="17" t="s">
        <v>209</v>
      </c>
      <c r="C46" s="23" t="s">
        <v>242</v>
      </c>
      <c r="D46" s="26">
        <v>46160</v>
      </c>
      <c r="E46" s="26">
        <v>46173</v>
      </c>
      <c r="F46" s="27">
        <f>E46-D46</f>
        <v>13</v>
      </c>
      <c r="G46" s="27" t="s">
        <v>164</v>
      </c>
      <c r="H46" s="1" t="s">
        <v>17</v>
      </c>
      <c r="I46" s="27" t="s">
        <v>2</v>
      </c>
      <c r="J46" s="17" t="s">
        <v>321</v>
      </c>
      <c r="K46" s="30">
        <v>41337.99</v>
      </c>
      <c r="L46" s="17" t="s">
        <v>109</v>
      </c>
      <c r="M46" s="26">
        <v>46160</v>
      </c>
      <c r="N46" s="17" t="s">
        <v>16</v>
      </c>
      <c r="O46" s="26">
        <v>46163</v>
      </c>
      <c r="P46" s="17" t="s">
        <v>17</v>
      </c>
      <c r="Q46" s="26"/>
      <c r="R46" s="32" t="s">
        <v>319</v>
      </c>
      <c r="S46" s="32" t="s">
        <v>319</v>
      </c>
      <c r="T46" s="32" t="s">
        <v>319</v>
      </c>
      <c r="U46" s="32" t="s">
        <v>319</v>
      </c>
      <c r="V46" s="5" t="s">
        <v>319</v>
      </c>
      <c r="W46" s="5" t="s">
        <v>319</v>
      </c>
      <c r="X46" s="17" t="s">
        <v>18</v>
      </c>
      <c r="Y46" s="4">
        <v>0</v>
      </c>
    </row>
    <row r="47" spans="1:25" x14ac:dyDescent="0.2">
      <c r="A47" s="1" t="s">
        <v>107</v>
      </c>
      <c r="B47" s="1" t="s">
        <v>210</v>
      </c>
      <c r="C47" s="11" t="s">
        <v>176</v>
      </c>
      <c r="D47" s="3">
        <v>46160</v>
      </c>
      <c r="E47" s="3">
        <v>46174</v>
      </c>
      <c r="F47" s="2">
        <f>E47-D47</f>
        <v>14</v>
      </c>
      <c r="G47" s="2" t="s">
        <v>164</v>
      </c>
      <c r="H47" s="1" t="s">
        <v>291</v>
      </c>
      <c r="I47" s="2" t="s">
        <v>2</v>
      </c>
      <c r="J47" s="1" t="s">
        <v>321</v>
      </c>
      <c r="K47" s="14">
        <v>37250</v>
      </c>
      <c r="L47" s="1" t="s">
        <v>109</v>
      </c>
      <c r="M47" s="3">
        <v>46160</v>
      </c>
      <c r="N47" s="1" t="s">
        <v>102</v>
      </c>
      <c r="O47" s="3">
        <v>46163</v>
      </c>
      <c r="P47" s="1" t="s">
        <v>127</v>
      </c>
      <c r="Q47" s="3">
        <v>46166</v>
      </c>
      <c r="R47" s="4">
        <f>13448.98-7947.69</f>
        <v>5501.29</v>
      </c>
      <c r="S47" s="5">
        <f>9781.46-7947.69</f>
        <v>1833.7699999999995</v>
      </c>
      <c r="T47" s="4">
        <f>9780.78-5763.68</f>
        <v>4017.1000000000004</v>
      </c>
      <c r="U47" s="5">
        <f>7102.72-5763.68</f>
        <v>1339.04</v>
      </c>
      <c r="V47" s="5" t="s">
        <v>319</v>
      </c>
      <c r="W47" s="5">
        <f>9554.6-9550.18</f>
        <v>4.4200000000000728</v>
      </c>
      <c r="X47" s="1" t="s">
        <v>318</v>
      </c>
      <c r="Y47" s="4">
        <v>9119.5400000000009</v>
      </c>
    </row>
    <row r="48" spans="1:25" x14ac:dyDescent="0.2">
      <c r="A48" s="1" t="s">
        <v>107</v>
      </c>
      <c r="B48" s="18" t="s">
        <v>173</v>
      </c>
      <c r="C48" s="11" t="s">
        <v>174</v>
      </c>
      <c r="D48" s="3">
        <v>46163</v>
      </c>
      <c r="E48" s="3">
        <v>46179</v>
      </c>
      <c r="F48" s="2">
        <f>E48-D48</f>
        <v>16</v>
      </c>
      <c r="G48" s="2" t="s">
        <v>164</v>
      </c>
      <c r="H48" s="1" t="s">
        <v>291</v>
      </c>
      <c r="I48" s="2" t="s">
        <v>2</v>
      </c>
      <c r="J48" s="1" t="s">
        <v>321</v>
      </c>
      <c r="K48" s="14">
        <v>34523.199999999997</v>
      </c>
      <c r="L48" s="1" t="s">
        <v>175</v>
      </c>
      <c r="M48" s="3">
        <v>46163</v>
      </c>
      <c r="N48" s="1" t="s">
        <v>102</v>
      </c>
      <c r="O48" s="3">
        <v>46173</v>
      </c>
      <c r="P48" s="1" t="s">
        <v>110</v>
      </c>
      <c r="Q48" s="3">
        <v>46166</v>
      </c>
      <c r="R48" s="4">
        <f>9279.52-5483.37</f>
        <v>3796.1500000000005</v>
      </c>
      <c r="S48" s="5">
        <f>6748.74-5483.37</f>
        <v>1265.3699999999999</v>
      </c>
      <c r="T48" s="4" t="s">
        <v>319</v>
      </c>
      <c r="U48" s="5" t="s">
        <v>319</v>
      </c>
      <c r="V48" s="5" t="s">
        <v>319</v>
      </c>
      <c r="W48" s="5" t="s">
        <v>319</v>
      </c>
      <c r="X48" s="1" t="s">
        <v>18</v>
      </c>
      <c r="Y48" s="4">
        <v>7491.06</v>
      </c>
    </row>
    <row r="49" spans="1:25" x14ac:dyDescent="0.2">
      <c r="A49" s="1" t="s">
        <v>107</v>
      </c>
      <c r="B49" s="1" t="s">
        <v>112</v>
      </c>
      <c r="C49" s="11" t="s">
        <v>111</v>
      </c>
      <c r="D49" s="3">
        <v>46157</v>
      </c>
      <c r="E49" s="3">
        <v>46174</v>
      </c>
      <c r="F49" s="2">
        <f>E49-D49</f>
        <v>17</v>
      </c>
      <c r="G49" s="2" t="s">
        <v>164</v>
      </c>
      <c r="H49" s="1" t="s">
        <v>291</v>
      </c>
      <c r="I49" s="2" t="s">
        <v>2</v>
      </c>
      <c r="J49" s="1" t="s">
        <v>322</v>
      </c>
      <c r="K49" s="14">
        <v>32400</v>
      </c>
      <c r="L49" s="1" t="s">
        <v>109</v>
      </c>
      <c r="M49" s="3">
        <v>46157</v>
      </c>
      <c r="N49" s="1" t="s">
        <v>16</v>
      </c>
      <c r="O49" s="3">
        <v>46160</v>
      </c>
      <c r="P49" s="1" t="s">
        <v>110</v>
      </c>
      <c r="Q49" s="3">
        <v>46163</v>
      </c>
      <c r="R49" s="4">
        <v>328.65</v>
      </c>
      <c r="S49" s="5">
        <f>1921.53-1850.64</f>
        <v>70.889999999999873</v>
      </c>
      <c r="T49" s="4">
        <v>168.72</v>
      </c>
      <c r="U49" s="5">
        <f>3291.07-3275.96</f>
        <v>15.110000000000127</v>
      </c>
      <c r="V49" s="5" t="s">
        <v>319</v>
      </c>
      <c r="W49" s="5" t="s">
        <v>319</v>
      </c>
      <c r="X49" s="1" t="s">
        <v>18</v>
      </c>
      <c r="Y49" s="4">
        <v>10737.18</v>
      </c>
    </row>
    <row r="50" spans="1:25" x14ac:dyDescent="0.2">
      <c r="A50" s="1" t="s">
        <v>107</v>
      </c>
      <c r="B50" s="1" t="s">
        <v>108</v>
      </c>
      <c r="C50" s="11" t="s">
        <v>106</v>
      </c>
      <c r="D50" s="3">
        <v>46156</v>
      </c>
      <c r="E50" s="3">
        <v>46174</v>
      </c>
      <c r="F50" s="2">
        <f>E50-D50</f>
        <v>18</v>
      </c>
      <c r="G50" s="2" t="s">
        <v>164</v>
      </c>
      <c r="H50" s="1" t="s">
        <v>291</v>
      </c>
      <c r="I50" s="2" t="s">
        <v>2</v>
      </c>
      <c r="J50" s="1" t="s">
        <v>322</v>
      </c>
      <c r="K50" s="14">
        <v>33499.99</v>
      </c>
      <c r="L50" s="1" t="s">
        <v>109</v>
      </c>
      <c r="M50" s="3">
        <v>46156</v>
      </c>
      <c r="N50" s="1" t="s">
        <v>16</v>
      </c>
      <c r="O50" s="3">
        <v>46160</v>
      </c>
      <c r="P50" s="1" t="s">
        <v>110</v>
      </c>
      <c r="Q50" s="3">
        <v>46163</v>
      </c>
      <c r="R50" s="4">
        <v>328.65</v>
      </c>
      <c r="S50" s="5">
        <f>1921.53-1850.64</f>
        <v>70.889999999999873</v>
      </c>
      <c r="T50" s="4">
        <v>202.84</v>
      </c>
      <c r="U50" s="5">
        <f>4405.42-4366.63</f>
        <v>38.789999999999964</v>
      </c>
      <c r="V50" s="5" t="s">
        <v>319</v>
      </c>
      <c r="W50" s="5" t="s">
        <v>319</v>
      </c>
      <c r="X50" s="1" t="s">
        <v>23</v>
      </c>
      <c r="Y50" s="4">
        <v>10639.47</v>
      </c>
    </row>
    <row r="51" spans="1:25" x14ac:dyDescent="0.2">
      <c r="A51" s="17" t="s">
        <v>107</v>
      </c>
      <c r="B51" s="17" t="s">
        <v>231</v>
      </c>
      <c r="C51" s="23" t="s">
        <v>261</v>
      </c>
      <c r="D51" s="26">
        <v>46157</v>
      </c>
      <c r="E51" s="26">
        <v>46176</v>
      </c>
      <c r="F51" s="27">
        <f>E51-D51</f>
        <v>19</v>
      </c>
      <c r="G51" s="27" t="s">
        <v>164</v>
      </c>
      <c r="H51" s="1" t="s">
        <v>291</v>
      </c>
      <c r="I51" s="27" t="s">
        <v>2</v>
      </c>
      <c r="J51" s="1" t="s">
        <v>322</v>
      </c>
      <c r="K51" s="30">
        <v>32400</v>
      </c>
      <c r="L51" s="17" t="s">
        <v>109</v>
      </c>
      <c r="M51" s="26">
        <v>46157</v>
      </c>
      <c r="N51" s="17" t="s">
        <v>16</v>
      </c>
      <c r="O51" s="26">
        <v>46160</v>
      </c>
      <c r="P51" s="17" t="s">
        <v>110</v>
      </c>
      <c r="Q51" s="26">
        <v>46163</v>
      </c>
      <c r="R51" s="4" t="s">
        <v>319</v>
      </c>
      <c r="S51" s="5" t="s">
        <v>319</v>
      </c>
      <c r="T51" s="4" t="s">
        <v>319</v>
      </c>
      <c r="U51" s="5" t="s">
        <v>319</v>
      </c>
      <c r="V51" s="5" t="s">
        <v>319</v>
      </c>
      <c r="W51" s="5" t="s">
        <v>319</v>
      </c>
      <c r="X51" s="17" t="s">
        <v>98</v>
      </c>
      <c r="Y51" s="4">
        <v>7599.62</v>
      </c>
    </row>
    <row r="52" spans="1:25" x14ac:dyDescent="0.2">
      <c r="A52" s="17" t="s">
        <v>107</v>
      </c>
      <c r="B52" s="17" t="s">
        <v>172</v>
      </c>
      <c r="C52" s="23" t="s">
        <v>170</v>
      </c>
      <c r="D52" s="26">
        <v>46149</v>
      </c>
      <c r="E52" s="26">
        <v>46177</v>
      </c>
      <c r="F52" s="27">
        <f>E52-D52</f>
        <v>28</v>
      </c>
      <c r="G52" s="27" t="s">
        <v>164</v>
      </c>
      <c r="H52" s="1" t="s">
        <v>291</v>
      </c>
      <c r="I52" s="27" t="s">
        <v>2</v>
      </c>
      <c r="J52" s="1" t="s">
        <v>322</v>
      </c>
      <c r="K52" s="30">
        <v>32033</v>
      </c>
      <c r="L52" s="17" t="s">
        <v>171</v>
      </c>
      <c r="M52" s="26">
        <v>46149</v>
      </c>
      <c r="N52" s="17" t="s">
        <v>131</v>
      </c>
      <c r="O52" s="26">
        <v>46154</v>
      </c>
      <c r="P52" s="17" t="s">
        <v>156</v>
      </c>
      <c r="Q52" s="26">
        <v>46163</v>
      </c>
      <c r="R52" s="31">
        <f>6580.03-5356.77</f>
        <v>1223.2599999999993</v>
      </c>
      <c r="S52" s="5" t="s">
        <v>319</v>
      </c>
      <c r="T52" s="31">
        <f>4358.58-3878.22</f>
        <v>480.36000000000013</v>
      </c>
      <c r="U52" s="5" t="s">
        <v>319</v>
      </c>
      <c r="V52" s="32">
        <f>10985.08-6542.88</f>
        <v>4442.2</v>
      </c>
      <c r="W52" s="5" t="s">
        <v>319</v>
      </c>
      <c r="X52" s="17" t="s">
        <v>23</v>
      </c>
      <c r="Y52" s="4">
        <v>6424.94</v>
      </c>
    </row>
    <row r="53" spans="1:25" x14ac:dyDescent="0.2">
      <c r="A53" s="17" t="s">
        <v>107</v>
      </c>
      <c r="B53" s="17" t="s">
        <v>165</v>
      </c>
      <c r="C53" s="23" t="s">
        <v>166</v>
      </c>
      <c r="D53" s="26">
        <v>46162</v>
      </c>
      <c r="E53" s="26">
        <v>46176</v>
      </c>
      <c r="F53" s="27">
        <f>E53-D53</f>
        <v>14</v>
      </c>
      <c r="G53" s="27" t="s">
        <v>164</v>
      </c>
      <c r="H53" s="1" t="s">
        <v>17</v>
      </c>
      <c r="I53" s="27" t="s">
        <v>25</v>
      </c>
      <c r="J53" s="1" t="s">
        <v>322</v>
      </c>
      <c r="K53" s="30">
        <v>25999.99</v>
      </c>
      <c r="L53" s="17" t="s">
        <v>167</v>
      </c>
      <c r="M53" s="26">
        <v>46162</v>
      </c>
      <c r="N53" s="17" t="s">
        <v>127</v>
      </c>
      <c r="O53" s="26">
        <v>46165</v>
      </c>
      <c r="P53" s="17" t="s">
        <v>17</v>
      </c>
      <c r="Q53" s="26"/>
      <c r="R53" s="4" t="s">
        <v>319</v>
      </c>
      <c r="S53" s="32">
        <f>9554.64-9550.18</f>
        <v>4.4599999999991269</v>
      </c>
      <c r="T53" s="4" t="s">
        <v>319</v>
      </c>
      <c r="U53" s="5" t="s">
        <v>319</v>
      </c>
      <c r="V53" s="5" t="s">
        <v>319</v>
      </c>
      <c r="W53" s="5" t="s">
        <v>319</v>
      </c>
      <c r="X53" s="17" t="s">
        <v>18</v>
      </c>
      <c r="Y53" s="4">
        <v>7621.33</v>
      </c>
    </row>
    <row r="54" spans="1:25" x14ac:dyDescent="0.2">
      <c r="A54" s="17" t="s">
        <v>107</v>
      </c>
      <c r="B54" s="17" t="s">
        <v>147</v>
      </c>
      <c r="C54" s="23" t="s">
        <v>148</v>
      </c>
      <c r="D54" s="26">
        <v>46161</v>
      </c>
      <c r="E54" s="26">
        <v>46176</v>
      </c>
      <c r="F54" s="27">
        <f>E54-D54</f>
        <v>15</v>
      </c>
      <c r="G54" s="27" t="s">
        <v>164</v>
      </c>
      <c r="H54" s="1" t="s">
        <v>115</v>
      </c>
      <c r="I54" s="27" t="s">
        <v>25</v>
      </c>
      <c r="J54" s="1" t="s">
        <v>322</v>
      </c>
      <c r="K54" s="30">
        <v>24999.99</v>
      </c>
      <c r="L54" s="17" t="s">
        <v>134</v>
      </c>
      <c r="M54" s="26">
        <v>46161</v>
      </c>
      <c r="N54" s="17" t="s">
        <v>149</v>
      </c>
      <c r="O54" s="26">
        <v>46164</v>
      </c>
      <c r="P54" s="17" t="s">
        <v>115</v>
      </c>
      <c r="Q54" s="26"/>
      <c r="R54" s="4" t="s">
        <v>319</v>
      </c>
      <c r="S54" s="5" t="s">
        <v>319</v>
      </c>
      <c r="T54" s="4" t="s">
        <v>319</v>
      </c>
      <c r="U54" s="5" t="s">
        <v>319</v>
      </c>
      <c r="V54" s="5" t="s">
        <v>319</v>
      </c>
      <c r="W54" s="5" t="s">
        <v>319</v>
      </c>
      <c r="X54" s="17" t="s">
        <v>18</v>
      </c>
      <c r="Y54" s="4">
        <v>7621.33</v>
      </c>
    </row>
    <row r="55" spans="1:25" x14ac:dyDescent="0.2">
      <c r="A55" s="17" t="s">
        <v>107</v>
      </c>
      <c r="B55" s="17" t="s">
        <v>150</v>
      </c>
      <c r="C55" s="23" t="s">
        <v>151</v>
      </c>
      <c r="D55" s="26">
        <v>46159</v>
      </c>
      <c r="E55" s="26">
        <v>46176</v>
      </c>
      <c r="F55" s="27">
        <f>E55-D55</f>
        <v>17</v>
      </c>
      <c r="G55" s="27" t="s">
        <v>164</v>
      </c>
      <c r="H55" s="1" t="s">
        <v>115</v>
      </c>
      <c r="I55" s="27" t="s">
        <v>25</v>
      </c>
      <c r="J55" s="1" t="s">
        <v>322</v>
      </c>
      <c r="K55" s="30">
        <v>24999.99</v>
      </c>
      <c r="L55" s="17" t="s">
        <v>138</v>
      </c>
      <c r="M55" s="26">
        <v>46159</v>
      </c>
      <c r="N55" s="17" t="s">
        <v>149</v>
      </c>
      <c r="O55" s="26">
        <v>46162</v>
      </c>
      <c r="P55" s="17" t="s">
        <v>115</v>
      </c>
      <c r="Q55" s="26"/>
      <c r="R55" s="4" t="s">
        <v>319</v>
      </c>
      <c r="S55" s="5" t="s">
        <v>319</v>
      </c>
      <c r="T55" s="4" t="s">
        <v>319</v>
      </c>
      <c r="U55" s="5" t="s">
        <v>319</v>
      </c>
      <c r="V55" s="5" t="s">
        <v>319</v>
      </c>
      <c r="W55" s="5" t="s">
        <v>319</v>
      </c>
      <c r="X55" s="17" t="s">
        <v>18</v>
      </c>
      <c r="Y55" s="4">
        <v>7599.62</v>
      </c>
    </row>
    <row r="56" spans="1:25" x14ac:dyDescent="0.2">
      <c r="A56" s="17" t="s">
        <v>107</v>
      </c>
      <c r="B56" s="17" t="s">
        <v>161</v>
      </c>
      <c r="C56" s="23" t="s">
        <v>162</v>
      </c>
      <c r="D56" s="26">
        <v>46162</v>
      </c>
      <c r="E56" s="26">
        <v>46179</v>
      </c>
      <c r="F56" s="27">
        <f>E56-D56</f>
        <v>17</v>
      </c>
      <c r="G56" s="27" t="s">
        <v>164</v>
      </c>
      <c r="H56" s="1" t="s">
        <v>115</v>
      </c>
      <c r="I56" s="27" t="s">
        <v>25</v>
      </c>
      <c r="J56" s="1" t="s">
        <v>322</v>
      </c>
      <c r="K56" s="30">
        <v>25592.78</v>
      </c>
      <c r="L56" s="17" t="s">
        <v>163</v>
      </c>
      <c r="M56" s="26">
        <v>46162</v>
      </c>
      <c r="N56" s="17" t="s">
        <v>156</v>
      </c>
      <c r="O56" s="26">
        <v>46165</v>
      </c>
      <c r="P56" s="17" t="s">
        <v>115</v>
      </c>
      <c r="Q56" s="26"/>
      <c r="R56" s="31">
        <f>10985.08-6542.88</f>
        <v>4442.2</v>
      </c>
      <c r="S56" s="5" t="s">
        <v>319</v>
      </c>
      <c r="T56" s="4" t="s">
        <v>319</v>
      </c>
      <c r="U56" s="32">
        <f>3163.48-2794.41</f>
        <v>369.07000000000016</v>
      </c>
      <c r="V56" s="5" t="s">
        <v>319</v>
      </c>
      <c r="W56" s="5" t="s">
        <v>319</v>
      </c>
      <c r="X56" s="17" t="s">
        <v>18</v>
      </c>
      <c r="Y56" s="4">
        <v>6188.27</v>
      </c>
    </row>
    <row r="57" spans="1:25" x14ac:dyDescent="0.2">
      <c r="A57" s="17" t="s">
        <v>107</v>
      </c>
      <c r="B57" s="17" t="s">
        <v>140</v>
      </c>
      <c r="C57" s="23" t="s">
        <v>141</v>
      </c>
      <c r="D57" s="26">
        <v>46159</v>
      </c>
      <c r="E57" s="26">
        <v>46177</v>
      </c>
      <c r="F57" s="27">
        <f>E57-D57</f>
        <v>18</v>
      </c>
      <c r="G57" s="27" t="s">
        <v>164</v>
      </c>
      <c r="H57" s="1" t="s">
        <v>115</v>
      </c>
      <c r="I57" s="27" t="s">
        <v>25</v>
      </c>
      <c r="J57" s="1" t="s">
        <v>322</v>
      </c>
      <c r="K57" s="30">
        <v>24199.99</v>
      </c>
      <c r="L57" s="17" t="s">
        <v>134</v>
      </c>
      <c r="M57" s="26">
        <v>46159</v>
      </c>
      <c r="N57" s="17" t="s">
        <v>139</v>
      </c>
      <c r="O57" s="26">
        <v>46162</v>
      </c>
      <c r="P57" s="17" t="s">
        <v>115</v>
      </c>
      <c r="Q57" s="26"/>
      <c r="R57" s="4" t="s">
        <v>319</v>
      </c>
      <c r="S57" s="32">
        <f>7708.84-6542.88</f>
        <v>1165.96</v>
      </c>
      <c r="T57" s="4" t="s">
        <v>319</v>
      </c>
      <c r="U57" s="32">
        <f>2811.99-2319.89</f>
        <v>492.09999999999991</v>
      </c>
      <c r="V57" s="5" t="s">
        <v>319</v>
      </c>
      <c r="W57" s="5" t="s">
        <v>319</v>
      </c>
      <c r="X57" s="17" t="s">
        <v>18</v>
      </c>
      <c r="Y57" s="4">
        <v>7599.62</v>
      </c>
    </row>
    <row r="58" spans="1:25" x14ac:dyDescent="0.2">
      <c r="A58" s="17" t="s">
        <v>107</v>
      </c>
      <c r="B58" s="17" t="s">
        <v>152</v>
      </c>
      <c r="C58" s="23" t="s">
        <v>153</v>
      </c>
      <c r="D58" s="26">
        <v>46161</v>
      </c>
      <c r="E58" s="26">
        <v>46179</v>
      </c>
      <c r="F58" s="27">
        <f>E58-D58</f>
        <v>18</v>
      </c>
      <c r="G58" s="27" t="s">
        <v>164</v>
      </c>
      <c r="H58" s="1" t="s">
        <v>115</v>
      </c>
      <c r="I58" s="27" t="s">
        <v>25</v>
      </c>
      <c r="J58" s="1" t="s">
        <v>322</v>
      </c>
      <c r="K58" s="30">
        <v>25188</v>
      </c>
      <c r="L58" s="17" t="s">
        <v>134</v>
      </c>
      <c r="M58" s="26">
        <v>46161</v>
      </c>
      <c r="N58" s="17" t="s">
        <v>149</v>
      </c>
      <c r="O58" s="26">
        <v>46164</v>
      </c>
      <c r="P58" s="17" t="s">
        <v>115</v>
      </c>
      <c r="Q58" s="26"/>
      <c r="R58" s="4" t="s">
        <v>319</v>
      </c>
      <c r="S58" s="5" t="s">
        <v>319</v>
      </c>
      <c r="T58" s="31">
        <f>3796.18-2319.89</f>
        <v>1476.29</v>
      </c>
      <c r="U58" s="32">
        <f>2811.99-2319.89</f>
        <v>492.09999999999991</v>
      </c>
      <c r="V58" s="5" t="s">
        <v>319</v>
      </c>
      <c r="W58" s="5" t="s">
        <v>319</v>
      </c>
      <c r="X58" s="17" t="s">
        <v>18</v>
      </c>
      <c r="Y58" s="4">
        <v>7491.06</v>
      </c>
    </row>
    <row r="59" spans="1:25" x14ac:dyDescent="0.2">
      <c r="A59" s="17" t="s">
        <v>107</v>
      </c>
      <c r="B59" s="17" t="s">
        <v>145</v>
      </c>
      <c r="C59" s="23" t="s">
        <v>146</v>
      </c>
      <c r="D59" s="26">
        <v>46157</v>
      </c>
      <c r="E59" s="26">
        <v>46176</v>
      </c>
      <c r="F59" s="27">
        <f>E59-D59</f>
        <v>19</v>
      </c>
      <c r="G59" s="27" t="s">
        <v>20</v>
      </c>
      <c r="H59" s="1" t="s">
        <v>115</v>
      </c>
      <c r="I59" s="27" t="s">
        <v>25</v>
      </c>
      <c r="J59" s="1" t="s">
        <v>322</v>
      </c>
      <c r="K59" s="30">
        <v>24999.599999999999</v>
      </c>
      <c r="L59" s="17" t="s">
        <v>134</v>
      </c>
      <c r="M59" s="26">
        <v>46173</v>
      </c>
      <c r="N59" s="17" t="s">
        <v>143</v>
      </c>
      <c r="O59" s="26">
        <v>46157</v>
      </c>
      <c r="P59" s="17" t="s">
        <v>115</v>
      </c>
      <c r="Q59" s="26"/>
      <c r="R59" s="31">
        <f>8982.18-6117.16</f>
        <v>2865.0200000000004</v>
      </c>
      <c r="S59" s="32">
        <f>7578.07-6117.16</f>
        <v>1460.9099999999999</v>
      </c>
      <c r="T59" s="4" t="s">
        <v>319</v>
      </c>
      <c r="U59" s="5" t="s">
        <v>319</v>
      </c>
      <c r="V59" s="5" t="s">
        <v>319</v>
      </c>
      <c r="W59" s="5" t="s">
        <v>319</v>
      </c>
      <c r="X59" s="17" t="s">
        <v>18</v>
      </c>
      <c r="Y59" s="4">
        <v>8088.17</v>
      </c>
    </row>
    <row r="60" spans="1:25" x14ac:dyDescent="0.2">
      <c r="A60" s="17" t="s">
        <v>107</v>
      </c>
      <c r="B60" s="17" t="s">
        <v>136</v>
      </c>
      <c r="C60" s="23" t="s">
        <v>137</v>
      </c>
      <c r="D60" s="26">
        <v>46160</v>
      </c>
      <c r="E60" s="26">
        <v>46179</v>
      </c>
      <c r="F60" s="27">
        <f>E60-D60</f>
        <v>19</v>
      </c>
      <c r="G60" s="27" t="s">
        <v>20</v>
      </c>
      <c r="H60" s="1" t="s">
        <v>115</v>
      </c>
      <c r="I60" s="27" t="s">
        <v>25</v>
      </c>
      <c r="J60" s="1" t="s">
        <v>322</v>
      </c>
      <c r="K60" s="30">
        <v>24199.99</v>
      </c>
      <c r="L60" s="17" t="s">
        <v>138</v>
      </c>
      <c r="M60" s="26">
        <v>46176</v>
      </c>
      <c r="N60" s="17" t="s">
        <v>139</v>
      </c>
      <c r="O60" s="26">
        <v>46160</v>
      </c>
      <c r="P60" s="17" t="s">
        <v>115</v>
      </c>
      <c r="Q60" s="26"/>
      <c r="R60" s="4" t="s">
        <v>319</v>
      </c>
      <c r="S60" s="32">
        <f>7708.84-6542.88</f>
        <v>1165.96</v>
      </c>
      <c r="T60" s="4" t="s">
        <v>319</v>
      </c>
      <c r="U60" s="5" t="s">
        <v>319</v>
      </c>
      <c r="V60" s="5" t="s">
        <v>319</v>
      </c>
      <c r="W60" s="5" t="s">
        <v>319</v>
      </c>
      <c r="X60" s="17" t="s">
        <v>18</v>
      </c>
      <c r="Y60" s="4">
        <v>7219.65</v>
      </c>
    </row>
    <row r="61" spans="1:25" x14ac:dyDescent="0.2">
      <c r="A61" s="17" t="s">
        <v>107</v>
      </c>
      <c r="B61" s="17" t="s">
        <v>144</v>
      </c>
      <c r="C61" s="23" t="s">
        <v>142</v>
      </c>
      <c r="D61" s="26">
        <v>46162</v>
      </c>
      <c r="E61" s="26">
        <v>46181</v>
      </c>
      <c r="F61" s="27">
        <f>E61-D61</f>
        <v>19</v>
      </c>
      <c r="G61" s="27" t="s">
        <v>164</v>
      </c>
      <c r="H61" s="1" t="s">
        <v>115</v>
      </c>
      <c r="I61" s="27" t="s">
        <v>25</v>
      </c>
      <c r="J61" s="1" t="s">
        <v>322</v>
      </c>
      <c r="K61" s="30">
        <v>24499.99</v>
      </c>
      <c r="L61" s="17" t="s">
        <v>138</v>
      </c>
      <c r="M61" s="26">
        <v>46162</v>
      </c>
      <c r="N61" s="17" t="s">
        <v>143</v>
      </c>
      <c r="O61" s="26">
        <v>46165</v>
      </c>
      <c r="P61" s="17" t="s">
        <v>115</v>
      </c>
      <c r="Q61" s="26"/>
      <c r="R61" s="4" t="s">
        <v>319</v>
      </c>
      <c r="S61" s="5" t="s">
        <v>319</v>
      </c>
      <c r="T61" s="4" t="s">
        <v>319</v>
      </c>
      <c r="U61" s="5" t="s">
        <v>319</v>
      </c>
      <c r="V61" s="5" t="s">
        <v>319</v>
      </c>
      <c r="W61" s="5" t="s">
        <v>319</v>
      </c>
      <c r="X61" s="17" t="s">
        <v>18</v>
      </c>
      <c r="Y61" s="4">
        <v>6188.27</v>
      </c>
    </row>
    <row r="62" spans="1:25" x14ac:dyDescent="0.2">
      <c r="A62" s="17" t="s">
        <v>107</v>
      </c>
      <c r="B62" s="17" t="s">
        <v>132</v>
      </c>
      <c r="C62" s="23" t="s">
        <v>133</v>
      </c>
      <c r="D62" s="26">
        <v>46159</v>
      </c>
      <c r="E62" s="26">
        <v>46179</v>
      </c>
      <c r="F62" s="27">
        <f>E62-D62</f>
        <v>20</v>
      </c>
      <c r="G62" s="27" t="s">
        <v>164</v>
      </c>
      <c r="H62" s="1" t="s">
        <v>115</v>
      </c>
      <c r="I62" s="27" t="s">
        <v>25</v>
      </c>
      <c r="J62" s="1" t="s">
        <v>322</v>
      </c>
      <c r="K62" s="30">
        <v>23999.99</v>
      </c>
      <c r="L62" s="17" t="s">
        <v>134</v>
      </c>
      <c r="M62" s="26">
        <v>46159</v>
      </c>
      <c r="N62" s="17" t="s">
        <v>135</v>
      </c>
      <c r="O62" s="26">
        <v>46162</v>
      </c>
      <c r="P62" s="17" t="s">
        <v>115</v>
      </c>
      <c r="Q62" s="26"/>
      <c r="R62" s="4" t="s">
        <v>319</v>
      </c>
      <c r="S62" s="5" t="s">
        <v>319</v>
      </c>
      <c r="T62" s="4" t="s">
        <v>319</v>
      </c>
      <c r="U62" s="32">
        <f>2811.99-2319.89</f>
        <v>492.09999999999991</v>
      </c>
      <c r="V62" s="5" t="s">
        <v>319</v>
      </c>
      <c r="W62" s="5" t="s">
        <v>319</v>
      </c>
      <c r="X62" s="17" t="s">
        <v>318</v>
      </c>
      <c r="Y62" s="4">
        <v>7056.8</v>
      </c>
    </row>
    <row r="63" spans="1:25" x14ac:dyDescent="0.2">
      <c r="A63" s="17" t="s">
        <v>107</v>
      </c>
      <c r="B63" s="17" t="s">
        <v>157</v>
      </c>
      <c r="C63" s="23" t="s">
        <v>158</v>
      </c>
      <c r="D63" s="26">
        <v>46159</v>
      </c>
      <c r="E63" s="26">
        <v>46179</v>
      </c>
      <c r="F63" s="27">
        <f>E63-D63</f>
        <v>20</v>
      </c>
      <c r="G63" s="27" t="s">
        <v>164</v>
      </c>
      <c r="H63" s="1" t="s">
        <v>115</v>
      </c>
      <c r="I63" s="27" t="s">
        <v>25</v>
      </c>
      <c r="J63" s="1" t="s">
        <v>322</v>
      </c>
      <c r="K63" s="30">
        <v>25499.99</v>
      </c>
      <c r="L63" s="17" t="s">
        <v>134</v>
      </c>
      <c r="M63" s="26">
        <v>46159</v>
      </c>
      <c r="N63" s="17" t="s">
        <v>156</v>
      </c>
      <c r="O63" s="26">
        <v>46162</v>
      </c>
      <c r="P63" s="17" t="s">
        <v>115</v>
      </c>
      <c r="Q63" s="26"/>
      <c r="R63" s="4" t="s">
        <v>319</v>
      </c>
      <c r="S63" s="5" t="s">
        <v>319</v>
      </c>
      <c r="T63" s="4" t="s">
        <v>319</v>
      </c>
      <c r="U63" s="32">
        <f>2811.99-2319.89</f>
        <v>492.09999999999991</v>
      </c>
      <c r="V63" s="5" t="s">
        <v>319</v>
      </c>
      <c r="W63" s="5" t="s">
        <v>319</v>
      </c>
      <c r="X63" s="17" t="s">
        <v>18</v>
      </c>
      <c r="Y63" s="4">
        <v>6188.27</v>
      </c>
    </row>
    <row r="64" spans="1:25" x14ac:dyDescent="0.2">
      <c r="A64" s="17" t="s">
        <v>107</v>
      </c>
      <c r="B64" s="17" t="s">
        <v>159</v>
      </c>
      <c r="C64" s="23" t="s">
        <v>160</v>
      </c>
      <c r="D64" s="26">
        <v>46159</v>
      </c>
      <c r="E64" s="26">
        <v>46179</v>
      </c>
      <c r="F64" s="27">
        <f>E64-D64</f>
        <v>20</v>
      </c>
      <c r="G64" s="27" t="s">
        <v>164</v>
      </c>
      <c r="H64" s="1" t="s">
        <v>115</v>
      </c>
      <c r="I64" s="27" t="s">
        <v>25</v>
      </c>
      <c r="J64" s="1" t="s">
        <v>322</v>
      </c>
      <c r="K64" s="30">
        <v>25500</v>
      </c>
      <c r="L64" s="17" t="s">
        <v>134</v>
      </c>
      <c r="M64" s="26">
        <v>46159</v>
      </c>
      <c r="N64" s="17" t="s">
        <v>149</v>
      </c>
      <c r="O64" s="26">
        <v>46162</v>
      </c>
      <c r="P64" s="17" t="s">
        <v>115</v>
      </c>
      <c r="Q64" s="26"/>
      <c r="R64" s="4" t="s">
        <v>319</v>
      </c>
      <c r="S64" s="5" t="s">
        <v>319</v>
      </c>
      <c r="T64" s="4" t="s">
        <v>319</v>
      </c>
      <c r="U64" s="32">
        <f>2811.99-2319.89</f>
        <v>492.09999999999991</v>
      </c>
      <c r="V64" s="5" t="s">
        <v>319</v>
      </c>
      <c r="W64" s="5" t="s">
        <v>319</v>
      </c>
      <c r="X64" s="17" t="s">
        <v>18</v>
      </c>
      <c r="Y64" s="4">
        <v>6188.27</v>
      </c>
    </row>
    <row r="65" spans="1:25" x14ac:dyDescent="0.2">
      <c r="A65" s="17" t="s">
        <v>107</v>
      </c>
      <c r="B65" s="17" t="s">
        <v>154</v>
      </c>
      <c r="C65" s="23" t="s">
        <v>155</v>
      </c>
      <c r="D65" s="26">
        <v>46157</v>
      </c>
      <c r="E65" s="26">
        <v>46178</v>
      </c>
      <c r="F65" s="27">
        <f>E65-D65</f>
        <v>21</v>
      </c>
      <c r="G65" s="27" t="s">
        <v>164</v>
      </c>
      <c r="H65" s="1" t="s">
        <v>115</v>
      </c>
      <c r="I65" s="27" t="s">
        <v>25</v>
      </c>
      <c r="J65" s="1" t="s">
        <v>322</v>
      </c>
      <c r="K65" s="30">
        <v>25279.919999999998</v>
      </c>
      <c r="L65" s="17" t="s">
        <v>134</v>
      </c>
      <c r="M65" s="26">
        <v>46157</v>
      </c>
      <c r="N65" s="17" t="s">
        <v>156</v>
      </c>
      <c r="O65" s="26">
        <v>46160</v>
      </c>
      <c r="P65" s="17" t="s">
        <v>115</v>
      </c>
      <c r="Q65" s="26"/>
      <c r="R65" s="31">
        <f>10985.08-6542.88</f>
        <v>4442.2</v>
      </c>
      <c r="S65" s="5" t="s">
        <v>319</v>
      </c>
      <c r="T65" s="31">
        <f>3796.18-2319.89</f>
        <v>1476.29</v>
      </c>
      <c r="U65" s="32">
        <f>2811.99-2319.89</f>
        <v>492.09999999999991</v>
      </c>
      <c r="V65" s="5" t="s">
        <v>319</v>
      </c>
      <c r="W65" s="5" t="s">
        <v>319</v>
      </c>
      <c r="X65" s="17" t="s">
        <v>18</v>
      </c>
      <c r="Y65" s="4">
        <v>6459.68</v>
      </c>
    </row>
    <row r="66" spans="1:25" x14ac:dyDescent="0.2">
      <c r="A66" s="17" t="s">
        <v>107</v>
      </c>
      <c r="B66" s="17" t="s">
        <v>168</v>
      </c>
      <c r="C66" s="23" t="s">
        <v>169</v>
      </c>
      <c r="D66" s="26">
        <v>46157</v>
      </c>
      <c r="E66" s="26">
        <v>46178</v>
      </c>
      <c r="F66" s="27">
        <f>E66-D66</f>
        <v>21</v>
      </c>
      <c r="G66" s="27" t="s">
        <v>164</v>
      </c>
      <c r="H66" s="1" t="s">
        <v>17</v>
      </c>
      <c r="I66" s="27" t="s">
        <v>25</v>
      </c>
      <c r="J66" s="1" t="s">
        <v>322</v>
      </c>
      <c r="K66" s="30">
        <v>26666.66</v>
      </c>
      <c r="L66" s="17" t="s">
        <v>138</v>
      </c>
      <c r="M66" s="26">
        <v>46157</v>
      </c>
      <c r="N66" s="17" t="s">
        <v>110</v>
      </c>
      <c r="O66" s="26">
        <v>46160</v>
      </c>
      <c r="P66" s="17" t="s">
        <v>17</v>
      </c>
      <c r="Q66" s="26"/>
      <c r="R66" s="4" t="s">
        <v>319</v>
      </c>
      <c r="S66" s="5" t="s">
        <v>319</v>
      </c>
      <c r="T66" s="4" t="s">
        <v>319</v>
      </c>
      <c r="U66" s="5" t="s">
        <v>319</v>
      </c>
      <c r="V66" s="5" t="s">
        <v>319</v>
      </c>
      <c r="W66" s="5" t="s">
        <v>319</v>
      </c>
      <c r="X66" s="17" t="s">
        <v>18</v>
      </c>
      <c r="Y66" s="4">
        <v>7599.62</v>
      </c>
    </row>
    <row r="67" spans="1:25" x14ac:dyDescent="0.2">
      <c r="A67" s="17" t="s">
        <v>203</v>
      </c>
      <c r="B67" s="17" t="s">
        <v>204</v>
      </c>
      <c r="C67" s="23" t="s">
        <v>238</v>
      </c>
      <c r="D67" s="28">
        <v>46163</v>
      </c>
      <c r="E67" s="28">
        <v>46173</v>
      </c>
      <c r="F67" s="27">
        <f>E67-D67</f>
        <v>10</v>
      </c>
      <c r="G67" s="27" t="s">
        <v>164</v>
      </c>
      <c r="H67" s="1" t="s">
        <v>17</v>
      </c>
      <c r="I67" s="27" t="s">
        <v>2</v>
      </c>
      <c r="J67" s="17" t="s">
        <v>321</v>
      </c>
      <c r="K67" s="30">
        <v>37589.339999999997</v>
      </c>
      <c r="L67" s="17" t="s">
        <v>19</v>
      </c>
      <c r="M67" s="26">
        <v>46163</v>
      </c>
      <c r="N67" s="17" t="s">
        <v>268</v>
      </c>
      <c r="O67" s="26">
        <v>46166</v>
      </c>
      <c r="P67" s="17" t="s">
        <v>17</v>
      </c>
      <c r="Q67" s="26"/>
      <c r="R67" s="31">
        <f>20377.67-15429.64</f>
        <v>4948.0299999999988</v>
      </c>
      <c r="S67" s="5" t="s">
        <v>319</v>
      </c>
      <c r="T67" s="4" t="s">
        <v>319</v>
      </c>
      <c r="U67" s="5" t="s">
        <v>319</v>
      </c>
      <c r="V67" s="5" t="s">
        <v>319</v>
      </c>
      <c r="W67" s="5" t="s">
        <v>319</v>
      </c>
      <c r="X67" s="17" t="s">
        <v>18</v>
      </c>
      <c r="Y67" s="15">
        <v>11347.72</v>
      </c>
    </row>
    <row r="68" spans="1:25" x14ac:dyDescent="0.2">
      <c r="A68" s="17" t="s">
        <v>203</v>
      </c>
      <c r="B68" s="17" t="s">
        <v>206</v>
      </c>
      <c r="C68" s="23" t="s">
        <v>240</v>
      </c>
      <c r="D68" s="28">
        <v>46164</v>
      </c>
      <c r="E68" s="28">
        <v>46176</v>
      </c>
      <c r="F68" s="27">
        <f>E68-D68</f>
        <v>12</v>
      </c>
      <c r="G68" s="27" t="s">
        <v>20</v>
      </c>
      <c r="H68" s="1" t="s">
        <v>17</v>
      </c>
      <c r="I68" s="27" t="s">
        <v>2</v>
      </c>
      <c r="J68" s="17" t="s">
        <v>321</v>
      </c>
      <c r="K68" s="30">
        <v>35461.24</v>
      </c>
      <c r="L68" s="17" t="s">
        <v>272</v>
      </c>
      <c r="M68" s="26">
        <v>46173</v>
      </c>
      <c r="N68" s="17" t="s">
        <v>273</v>
      </c>
      <c r="O68" s="26">
        <v>46164</v>
      </c>
      <c r="P68" s="17" t="s">
        <v>17</v>
      </c>
      <c r="Q68" s="26"/>
      <c r="R68" s="4" t="s">
        <v>319</v>
      </c>
      <c r="S68" s="5" t="s">
        <v>319</v>
      </c>
      <c r="T68" s="4" t="s">
        <v>319</v>
      </c>
      <c r="U68" s="5" t="s">
        <v>319</v>
      </c>
      <c r="V68" s="5" t="s">
        <v>319</v>
      </c>
      <c r="W68" s="5" t="s">
        <v>319</v>
      </c>
      <c r="X68" s="17" t="s">
        <v>18</v>
      </c>
      <c r="Y68" s="15">
        <v>11220.05</v>
      </c>
    </row>
    <row r="69" spans="1:25" x14ac:dyDescent="0.2">
      <c r="A69" s="17" t="s">
        <v>203</v>
      </c>
      <c r="B69" s="17" t="s">
        <v>207</v>
      </c>
      <c r="C69" s="22" t="s">
        <v>241</v>
      </c>
      <c r="D69" s="28">
        <v>46163</v>
      </c>
      <c r="E69" s="28">
        <v>46176</v>
      </c>
      <c r="F69" s="27">
        <f>E69-D69</f>
        <v>13</v>
      </c>
      <c r="G69" s="27" t="s">
        <v>20</v>
      </c>
      <c r="H69" s="1" t="s">
        <v>17</v>
      </c>
      <c r="I69" s="27" t="s">
        <v>2</v>
      </c>
      <c r="J69" s="17" t="s">
        <v>321</v>
      </c>
      <c r="K69" s="30">
        <v>33353.050000000003</v>
      </c>
      <c r="L69" s="17" t="s">
        <v>272</v>
      </c>
      <c r="M69" s="26">
        <v>46173</v>
      </c>
      <c r="N69" s="17" t="s">
        <v>268</v>
      </c>
      <c r="O69" s="26">
        <v>46163</v>
      </c>
      <c r="P69" s="17" t="s">
        <v>17</v>
      </c>
      <c r="Q69" s="26"/>
      <c r="R69" s="31">
        <f>20379.78-15430.71</f>
        <v>4949.07</v>
      </c>
      <c r="S69" s="5" t="s">
        <v>319</v>
      </c>
      <c r="T69" s="4" t="s">
        <v>319</v>
      </c>
      <c r="U69" s="5" t="s">
        <v>319</v>
      </c>
      <c r="V69" s="5" t="s">
        <v>319</v>
      </c>
      <c r="W69" s="5" t="s">
        <v>319</v>
      </c>
      <c r="X69" s="17" t="s">
        <v>18</v>
      </c>
      <c r="Y69" s="15">
        <v>11238.86</v>
      </c>
    </row>
    <row r="70" spans="1:25" x14ac:dyDescent="0.2">
      <c r="A70" s="1" t="s">
        <v>203</v>
      </c>
      <c r="B70" s="1" t="s">
        <v>215</v>
      </c>
      <c r="C70" s="13" t="s">
        <v>247</v>
      </c>
      <c r="D70" s="7">
        <v>46163</v>
      </c>
      <c r="E70" s="7">
        <v>46179</v>
      </c>
      <c r="F70" s="2">
        <f>E70-D70</f>
        <v>16</v>
      </c>
      <c r="G70" s="2" t="s">
        <v>164</v>
      </c>
      <c r="H70" s="1" t="s">
        <v>291</v>
      </c>
      <c r="I70" s="2" t="s">
        <v>2</v>
      </c>
      <c r="J70" s="1" t="s">
        <v>321</v>
      </c>
      <c r="K70" s="14">
        <v>27028</v>
      </c>
      <c r="L70" s="1" t="s">
        <v>19</v>
      </c>
      <c r="M70" s="3">
        <v>46163</v>
      </c>
      <c r="N70" s="1" t="s">
        <v>268</v>
      </c>
      <c r="O70" s="3">
        <v>46174</v>
      </c>
      <c r="P70" s="1" t="s">
        <v>276</v>
      </c>
      <c r="Q70" s="3">
        <v>46166</v>
      </c>
      <c r="R70" s="4">
        <v>1163.44</v>
      </c>
      <c r="S70" s="5" t="s">
        <v>319</v>
      </c>
      <c r="T70" s="4" t="s">
        <v>319</v>
      </c>
      <c r="U70" s="5" t="s">
        <v>319</v>
      </c>
      <c r="V70" s="5" t="s">
        <v>319</v>
      </c>
      <c r="W70" s="5" t="s">
        <v>319</v>
      </c>
      <c r="X70" s="1" t="s">
        <v>18</v>
      </c>
      <c r="Y70" s="15">
        <v>11348.31</v>
      </c>
    </row>
    <row r="71" spans="1:25" x14ac:dyDescent="0.2">
      <c r="A71" s="1" t="s">
        <v>203</v>
      </c>
      <c r="B71" s="1" t="s">
        <v>220</v>
      </c>
      <c r="C71" s="11" t="s">
        <v>22</v>
      </c>
      <c r="D71" s="3">
        <v>46163</v>
      </c>
      <c r="E71" s="3">
        <v>46179</v>
      </c>
      <c r="F71" s="2">
        <f>E71-D71</f>
        <v>16</v>
      </c>
      <c r="G71" s="2" t="s">
        <v>164</v>
      </c>
      <c r="H71" s="1" t="s">
        <v>291</v>
      </c>
      <c r="I71" s="2" t="s">
        <v>2</v>
      </c>
      <c r="J71" s="1" t="s">
        <v>321</v>
      </c>
      <c r="K71" s="14">
        <v>25691.84</v>
      </c>
      <c r="L71" s="1" t="s">
        <v>19</v>
      </c>
      <c r="M71" s="3">
        <v>46163</v>
      </c>
      <c r="N71" s="1" t="s">
        <v>273</v>
      </c>
      <c r="O71" s="3">
        <v>46174</v>
      </c>
      <c r="P71" s="1" t="s">
        <v>281</v>
      </c>
      <c r="Q71" s="3">
        <v>46166</v>
      </c>
      <c r="R71" s="4" t="s">
        <v>319</v>
      </c>
      <c r="S71" s="5" t="s">
        <v>319</v>
      </c>
      <c r="T71" s="4" t="s">
        <v>319</v>
      </c>
      <c r="U71" s="5" t="s">
        <v>319</v>
      </c>
      <c r="V71" s="5" t="s">
        <v>319</v>
      </c>
      <c r="W71" s="5">
        <f>3897.57-3894.04</f>
        <v>3.5300000000002001</v>
      </c>
      <c r="X71" s="1" t="s">
        <v>18</v>
      </c>
      <c r="Y71" s="15">
        <v>11348.31</v>
      </c>
    </row>
    <row r="72" spans="1:25" x14ac:dyDescent="0.2">
      <c r="A72" s="1" t="s">
        <v>203</v>
      </c>
      <c r="B72" s="1" t="s">
        <v>223</v>
      </c>
      <c r="C72" s="13" t="s">
        <v>253</v>
      </c>
      <c r="D72" s="7">
        <v>46156</v>
      </c>
      <c r="E72" s="7">
        <v>46174</v>
      </c>
      <c r="F72" s="2">
        <f>E72-D72</f>
        <v>18</v>
      </c>
      <c r="G72" s="2" t="s">
        <v>164</v>
      </c>
      <c r="H72" s="1" t="s">
        <v>291</v>
      </c>
      <c r="I72" s="2" t="s">
        <v>2</v>
      </c>
      <c r="J72" s="1" t="s">
        <v>321</v>
      </c>
      <c r="K72" s="14">
        <v>27616.21</v>
      </c>
      <c r="L72" s="1" t="s">
        <v>282</v>
      </c>
      <c r="M72" s="3">
        <v>46156</v>
      </c>
      <c r="N72" s="1" t="s">
        <v>273</v>
      </c>
      <c r="O72" s="3">
        <v>46159</v>
      </c>
      <c r="P72" s="1" t="s">
        <v>127</v>
      </c>
      <c r="Q72" s="3">
        <v>46163</v>
      </c>
      <c r="R72" s="4" t="s">
        <v>319</v>
      </c>
      <c r="S72" s="5" t="s">
        <v>319</v>
      </c>
      <c r="T72" s="4" t="s">
        <v>319</v>
      </c>
      <c r="U72" s="5">
        <f>2864-2327.25</f>
        <v>536.75</v>
      </c>
      <c r="V72" s="5" t="s">
        <v>319</v>
      </c>
      <c r="W72" s="5">
        <f>9554.67-9550.18</f>
        <v>4.4899999999997817</v>
      </c>
      <c r="X72" s="1" t="s">
        <v>18</v>
      </c>
      <c r="Y72" s="15">
        <v>9555.68</v>
      </c>
    </row>
    <row r="73" spans="1:25" x14ac:dyDescent="0.2">
      <c r="A73" s="17" t="s">
        <v>203</v>
      </c>
      <c r="B73" s="17" t="s">
        <v>226</v>
      </c>
      <c r="C73" s="22" t="s">
        <v>256</v>
      </c>
      <c r="D73" s="28">
        <v>46156</v>
      </c>
      <c r="E73" s="28">
        <v>46175</v>
      </c>
      <c r="F73" s="27">
        <f>E73-D73</f>
        <v>19</v>
      </c>
      <c r="G73" s="27" t="s">
        <v>164</v>
      </c>
      <c r="H73" s="1" t="s">
        <v>291</v>
      </c>
      <c r="I73" s="27" t="s">
        <v>2</v>
      </c>
      <c r="J73" s="17" t="s">
        <v>321</v>
      </c>
      <c r="K73" s="30">
        <v>25203.56</v>
      </c>
      <c r="L73" s="17" t="s">
        <v>275</v>
      </c>
      <c r="M73" s="26">
        <v>46156</v>
      </c>
      <c r="N73" s="17" t="s">
        <v>268</v>
      </c>
      <c r="O73" s="26">
        <v>46159</v>
      </c>
      <c r="P73" s="17" t="s">
        <v>276</v>
      </c>
      <c r="Q73" s="26">
        <v>46163</v>
      </c>
      <c r="R73" s="31">
        <f>3495.29-1456.62</f>
        <v>2038.67</v>
      </c>
      <c r="S73" s="5" t="s">
        <v>319</v>
      </c>
      <c r="T73" s="4" t="s">
        <v>319</v>
      </c>
      <c r="U73" s="32">
        <f>2864-2327.25</f>
        <v>536.75</v>
      </c>
      <c r="V73" s="5" t="s">
        <v>319</v>
      </c>
      <c r="W73" s="32">
        <f>6974.66-6780.76</f>
        <v>193.89999999999964</v>
      </c>
      <c r="X73" s="17" t="s">
        <v>18</v>
      </c>
      <c r="Y73" s="15">
        <v>8301.75</v>
      </c>
    </row>
    <row r="74" spans="1:25" x14ac:dyDescent="0.2">
      <c r="A74" s="17" t="s">
        <v>203</v>
      </c>
      <c r="B74" s="17" t="s">
        <v>205</v>
      </c>
      <c r="C74" s="23" t="s">
        <v>239</v>
      </c>
      <c r="D74" s="28">
        <v>46162</v>
      </c>
      <c r="E74" s="28">
        <v>46173</v>
      </c>
      <c r="F74" s="27">
        <f>E74-D74</f>
        <v>11</v>
      </c>
      <c r="G74" s="27" t="s">
        <v>164</v>
      </c>
      <c r="H74" s="1" t="s">
        <v>271</v>
      </c>
      <c r="I74" s="27" t="s">
        <v>24</v>
      </c>
      <c r="J74" s="1" t="s">
        <v>322</v>
      </c>
      <c r="K74" s="30">
        <v>24752.76</v>
      </c>
      <c r="L74" s="17" t="s">
        <v>269</v>
      </c>
      <c r="M74" s="26">
        <v>46162</v>
      </c>
      <c r="N74" s="17" t="s">
        <v>270</v>
      </c>
      <c r="O74" s="26">
        <v>46165</v>
      </c>
      <c r="P74" s="17" t="s">
        <v>271</v>
      </c>
      <c r="Q74" s="26"/>
      <c r="R74" s="4" t="s">
        <v>319</v>
      </c>
      <c r="S74" s="5" t="s">
        <v>319</v>
      </c>
      <c r="T74" s="4" t="s">
        <v>319</v>
      </c>
      <c r="U74" s="5" t="s">
        <v>319</v>
      </c>
      <c r="V74" s="5" t="s">
        <v>319</v>
      </c>
      <c r="W74" s="5" t="s">
        <v>319</v>
      </c>
      <c r="X74" s="17" t="s">
        <v>18</v>
      </c>
      <c r="Y74" s="15">
        <v>11347.72</v>
      </c>
    </row>
    <row r="75" spans="1:25" x14ac:dyDescent="0.2">
      <c r="A75" s="17" t="s">
        <v>203</v>
      </c>
      <c r="B75" s="17" t="s">
        <v>216</v>
      </c>
      <c r="C75" s="23" t="s">
        <v>248</v>
      </c>
      <c r="D75" s="28">
        <v>46159</v>
      </c>
      <c r="E75" s="28">
        <v>46175</v>
      </c>
      <c r="F75" s="27">
        <f>E75-D75</f>
        <v>16</v>
      </c>
      <c r="G75" s="27" t="s">
        <v>164</v>
      </c>
      <c r="H75" s="1" t="s">
        <v>17</v>
      </c>
      <c r="I75" s="27" t="s">
        <v>24</v>
      </c>
      <c r="J75" s="1" t="s">
        <v>322</v>
      </c>
      <c r="K75" s="30">
        <v>24702.94</v>
      </c>
      <c r="L75" s="17" t="s">
        <v>275</v>
      </c>
      <c r="M75" s="26">
        <v>46159</v>
      </c>
      <c r="N75" s="17" t="s">
        <v>270</v>
      </c>
      <c r="O75" s="26">
        <v>46162</v>
      </c>
      <c r="P75" s="17" t="s">
        <v>17</v>
      </c>
      <c r="Q75" s="26"/>
      <c r="R75" s="4" t="s">
        <v>319</v>
      </c>
      <c r="S75" s="32">
        <f>9896.57-8383.44</f>
        <v>1513.1299999999992</v>
      </c>
      <c r="T75" s="4" t="s">
        <v>319</v>
      </c>
      <c r="U75" s="32">
        <f>2864-2327.25</f>
        <v>536.75</v>
      </c>
      <c r="V75" s="5" t="s">
        <v>319</v>
      </c>
      <c r="W75" s="5" t="s">
        <v>319</v>
      </c>
      <c r="X75" s="17" t="s">
        <v>289</v>
      </c>
      <c r="Y75" s="15">
        <v>11158.66</v>
      </c>
    </row>
    <row r="76" spans="1:25" x14ac:dyDescent="0.2">
      <c r="A76" s="17" t="s">
        <v>203</v>
      </c>
      <c r="B76" s="17" t="s">
        <v>218</v>
      </c>
      <c r="C76" s="22" t="s">
        <v>250</v>
      </c>
      <c r="D76" s="28">
        <v>46162</v>
      </c>
      <c r="E76" s="28">
        <v>46178</v>
      </c>
      <c r="F76" s="27">
        <f>E76-D76</f>
        <v>16</v>
      </c>
      <c r="G76" s="27" t="s">
        <v>164</v>
      </c>
      <c r="H76" s="1" t="s">
        <v>17</v>
      </c>
      <c r="I76" s="27" t="s">
        <v>24</v>
      </c>
      <c r="J76" s="1" t="s">
        <v>322</v>
      </c>
      <c r="K76" s="30">
        <v>24901.360000000001</v>
      </c>
      <c r="L76" s="17" t="s">
        <v>269</v>
      </c>
      <c r="M76" s="26">
        <v>46162</v>
      </c>
      <c r="N76" s="17" t="s">
        <v>278</v>
      </c>
      <c r="O76" s="26">
        <v>46165</v>
      </c>
      <c r="P76" s="17" t="s">
        <v>17</v>
      </c>
      <c r="Q76" s="26"/>
      <c r="R76" s="31">
        <v>2997.76</v>
      </c>
      <c r="S76" s="5" t="s">
        <v>319</v>
      </c>
      <c r="T76" s="4" t="s">
        <v>319</v>
      </c>
      <c r="U76" s="5" t="s">
        <v>319</v>
      </c>
      <c r="V76" s="5" t="s">
        <v>319</v>
      </c>
      <c r="W76" s="5" t="s">
        <v>319</v>
      </c>
      <c r="X76" s="17" t="s">
        <v>288</v>
      </c>
      <c r="Y76" s="15">
        <v>0</v>
      </c>
    </row>
    <row r="77" spans="1:25" x14ac:dyDescent="0.2">
      <c r="A77" s="17" t="s">
        <v>203</v>
      </c>
      <c r="B77" s="17" t="s">
        <v>227</v>
      </c>
      <c r="C77" s="25" t="s">
        <v>257</v>
      </c>
      <c r="D77" s="28">
        <v>46156</v>
      </c>
      <c r="E77" s="28">
        <v>46175</v>
      </c>
      <c r="F77" s="27">
        <f>E77-D77</f>
        <v>19</v>
      </c>
      <c r="G77" s="27" t="s">
        <v>164</v>
      </c>
      <c r="H77" s="1" t="s">
        <v>17</v>
      </c>
      <c r="I77" s="27" t="s">
        <v>24</v>
      </c>
      <c r="J77" s="1" t="s">
        <v>322</v>
      </c>
      <c r="K77" s="30">
        <v>27502.79</v>
      </c>
      <c r="L77" s="17" t="s">
        <v>269</v>
      </c>
      <c r="M77" s="26">
        <v>46156</v>
      </c>
      <c r="N77" s="17" t="s">
        <v>285</v>
      </c>
      <c r="O77" s="26">
        <v>46159</v>
      </c>
      <c r="P77" s="17" t="s">
        <v>17</v>
      </c>
      <c r="Q77" s="26"/>
      <c r="R77" s="4" t="s">
        <v>319</v>
      </c>
      <c r="S77" s="5" t="s">
        <v>319</v>
      </c>
      <c r="T77" s="4" t="s">
        <v>319</v>
      </c>
      <c r="U77" s="5" t="s">
        <v>319</v>
      </c>
      <c r="V77" s="5" t="s">
        <v>319</v>
      </c>
      <c r="W77" s="5" t="s">
        <v>319</v>
      </c>
      <c r="X77" s="17" t="s">
        <v>23</v>
      </c>
      <c r="Y77" s="15">
        <v>11690.67</v>
      </c>
    </row>
    <row r="78" spans="1:25" x14ac:dyDescent="0.2">
      <c r="A78" s="17" t="s">
        <v>203</v>
      </c>
      <c r="B78" s="17" t="s">
        <v>230</v>
      </c>
      <c r="C78" s="22" t="s">
        <v>260</v>
      </c>
      <c r="D78" s="28">
        <v>46156</v>
      </c>
      <c r="E78" s="28">
        <v>46175</v>
      </c>
      <c r="F78" s="27">
        <f>E78-D78</f>
        <v>19</v>
      </c>
      <c r="G78" s="27" t="s">
        <v>164</v>
      </c>
      <c r="H78" s="1" t="s">
        <v>17</v>
      </c>
      <c r="I78" s="27" t="s">
        <v>24</v>
      </c>
      <c r="J78" s="1" t="s">
        <v>322</v>
      </c>
      <c r="K78" s="30">
        <v>25426.69</v>
      </c>
      <c r="L78" s="17" t="s">
        <v>269</v>
      </c>
      <c r="M78" s="26">
        <v>46156</v>
      </c>
      <c r="N78" s="17" t="s">
        <v>278</v>
      </c>
      <c r="O78" s="26">
        <v>46159</v>
      </c>
      <c r="P78" s="17" t="s">
        <v>17</v>
      </c>
      <c r="Q78" s="26"/>
      <c r="R78" s="31">
        <v>2997.83</v>
      </c>
      <c r="S78" s="5" t="s">
        <v>319</v>
      </c>
      <c r="T78" s="4" t="s">
        <v>319</v>
      </c>
      <c r="U78" s="5" t="s">
        <v>319</v>
      </c>
      <c r="V78" s="5" t="s">
        <v>319</v>
      </c>
      <c r="W78" s="5" t="s">
        <v>319</v>
      </c>
      <c r="X78" s="17" t="s">
        <v>288</v>
      </c>
      <c r="Y78" s="15">
        <v>6652.56</v>
      </c>
    </row>
    <row r="79" spans="1:25" x14ac:dyDescent="0.2">
      <c r="A79" s="17" t="s">
        <v>203</v>
      </c>
      <c r="B79" s="17" t="s">
        <v>211</v>
      </c>
      <c r="C79" s="22" t="s">
        <v>243</v>
      </c>
      <c r="D79" s="28">
        <v>46162</v>
      </c>
      <c r="E79" s="28">
        <v>46176</v>
      </c>
      <c r="F79" s="27">
        <f>E79-D79</f>
        <v>14</v>
      </c>
      <c r="G79" s="27" t="s">
        <v>20</v>
      </c>
      <c r="H79" s="1" t="s">
        <v>17</v>
      </c>
      <c r="I79" s="27" t="s">
        <v>25</v>
      </c>
      <c r="J79" s="1" t="s">
        <v>322</v>
      </c>
      <c r="K79" s="30">
        <v>25559.32</v>
      </c>
      <c r="L79" s="17" t="s">
        <v>269</v>
      </c>
      <c r="M79" s="26">
        <v>46173</v>
      </c>
      <c r="N79" s="17" t="s">
        <v>274</v>
      </c>
      <c r="O79" s="26">
        <v>46162</v>
      </c>
      <c r="P79" s="17" t="s">
        <v>17</v>
      </c>
      <c r="Q79" s="26"/>
      <c r="R79" s="4" t="s">
        <v>319</v>
      </c>
      <c r="S79" s="5" t="s">
        <v>319</v>
      </c>
      <c r="T79" s="4" t="s">
        <v>319</v>
      </c>
      <c r="U79" s="5" t="s">
        <v>319</v>
      </c>
      <c r="V79" s="5" t="s">
        <v>319</v>
      </c>
      <c r="W79" s="5" t="s">
        <v>319</v>
      </c>
      <c r="X79" s="17" t="s">
        <v>18</v>
      </c>
      <c r="Y79" s="15">
        <v>9482.7199999999993</v>
      </c>
    </row>
    <row r="80" spans="1:25" x14ac:dyDescent="0.2">
      <c r="A80" s="17" t="s">
        <v>203</v>
      </c>
      <c r="B80" s="17" t="s">
        <v>214</v>
      </c>
      <c r="C80" s="22" t="s">
        <v>246</v>
      </c>
      <c r="D80" s="28">
        <v>46159</v>
      </c>
      <c r="E80" s="28">
        <v>46174</v>
      </c>
      <c r="F80" s="27">
        <f>E80-D80</f>
        <v>15</v>
      </c>
      <c r="G80" s="27" t="s">
        <v>164</v>
      </c>
      <c r="H80" s="1" t="s">
        <v>17</v>
      </c>
      <c r="I80" s="27" t="s">
        <v>25</v>
      </c>
      <c r="J80" s="1" t="s">
        <v>322</v>
      </c>
      <c r="K80" s="30">
        <v>25197.66</v>
      </c>
      <c r="L80" s="17" t="s">
        <v>275</v>
      </c>
      <c r="M80" s="26">
        <v>46159</v>
      </c>
      <c r="N80" s="17" t="s">
        <v>274</v>
      </c>
      <c r="O80" s="26">
        <v>46162</v>
      </c>
      <c r="P80" s="17" t="s">
        <v>17</v>
      </c>
      <c r="Q80" s="26"/>
      <c r="R80" s="32" t="s">
        <v>319</v>
      </c>
      <c r="S80" s="32" t="s">
        <v>319</v>
      </c>
      <c r="T80" s="32" t="s">
        <v>319</v>
      </c>
      <c r="U80" s="32" t="s">
        <v>319</v>
      </c>
      <c r="V80" s="5" t="s">
        <v>319</v>
      </c>
      <c r="W80" s="5" t="s">
        <v>319</v>
      </c>
      <c r="X80" s="17" t="s">
        <v>288</v>
      </c>
      <c r="Y80" s="15">
        <v>0</v>
      </c>
    </row>
    <row r="81" spans="1:25" x14ac:dyDescent="0.2">
      <c r="A81" s="17" t="s">
        <v>203</v>
      </c>
      <c r="B81" s="17" t="s">
        <v>221</v>
      </c>
      <c r="C81" s="23" t="s">
        <v>249</v>
      </c>
      <c r="D81" s="26">
        <v>46159</v>
      </c>
      <c r="E81" s="26">
        <v>46175</v>
      </c>
      <c r="F81" s="27">
        <f>E81-D81</f>
        <v>16</v>
      </c>
      <c r="G81" s="27" t="s">
        <v>164</v>
      </c>
      <c r="H81" s="1" t="s">
        <v>115</v>
      </c>
      <c r="I81" s="27" t="s">
        <v>25</v>
      </c>
      <c r="J81" s="1" t="s">
        <v>322</v>
      </c>
      <c r="K81" s="30">
        <v>25869.68</v>
      </c>
      <c r="L81" s="17" t="s">
        <v>269</v>
      </c>
      <c r="M81" s="26">
        <v>46159</v>
      </c>
      <c r="N81" s="17" t="s">
        <v>127</v>
      </c>
      <c r="O81" s="26">
        <v>46162</v>
      </c>
      <c r="P81" s="17" t="s">
        <v>115</v>
      </c>
      <c r="Q81" s="26"/>
      <c r="R81" s="4" t="s">
        <v>319</v>
      </c>
      <c r="S81" s="32">
        <f>9554.62-9550.18</f>
        <v>4.4400000000005093</v>
      </c>
      <c r="T81" s="4" t="s">
        <v>319</v>
      </c>
      <c r="U81" s="32">
        <f>2864-2327.25</f>
        <v>536.75</v>
      </c>
      <c r="V81" s="5" t="s">
        <v>319</v>
      </c>
      <c r="W81" s="5" t="s">
        <v>319</v>
      </c>
      <c r="X81" s="17" t="s">
        <v>289</v>
      </c>
      <c r="Y81" s="15">
        <v>11158.66</v>
      </c>
    </row>
    <row r="82" spans="1:25" x14ac:dyDescent="0.2">
      <c r="A82" s="17" t="s">
        <v>203</v>
      </c>
      <c r="B82" s="17" t="s">
        <v>225</v>
      </c>
      <c r="C82" s="22" t="s">
        <v>255</v>
      </c>
      <c r="D82" s="28">
        <v>46156</v>
      </c>
      <c r="E82" s="28">
        <v>46174</v>
      </c>
      <c r="F82" s="27">
        <f>E82-D82</f>
        <v>18</v>
      </c>
      <c r="G82" s="27" t="s">
        <v>164</v>
      </c>
      <c r="H82" s="1" t="s">
        <v>17</v>
      </c>
      <c r="I82" s="27" t="s">
        <v>25</v>
      </c>
      <c r="J82" s="1" t="s">
        <v>322</v>
      </c>
      <c r="K82" s="30">
        <v>22986.13</v>
      </c>
      <c r="L82" s="17" t="s">
        <v>279</v>
      </c>
      <c r="M82" s="26">
        <v>46156</v>
      </c>
      <c r="N82" s="17" t="s">
        <v>284</v>
      </c>
      <c r="O82" s="26">
        <v>46159</v>
      </c>
      <c r="P82" s="17" t="s">
        <v>17</v>
      </c>
      <c r="Q82" s="26"/>
      <c r="R82" s="32" t="s">
        <v>319</v>
      </c>
      <c r="S82" s="32" t="s">
        <v>319</v>
      </c>
      <c r="T82" s="31">
        <v>1576.48</v>
      </c>
      <c r="U82" s="32" t="s">
        <v>319</v>
      </c>
      <c r="V82" s="5" t="s">
        <v>319</v>
      </c>
      <c r="W82" s="5" t="s">
        <v>319</v>
      </c>
      <c r="X82" s="17" t="s">
        <v>23</v>
      </c>
      <c r="Y82" s="15">
        <v>9569.82</v>
      </c>
    </row>
    <row r="83" spans="1:25" x14ac:dyDescent="0.2">
      <c r="A83" s="17" t="s">
        <v>15</v>
      </c>
      <c r="B83" s="17" t="s">
        <v>100</v>
      </c>
      <c r="C83" s="25" t="s">
        <v>101</v>
      </c>
      <c r="D83" s="26">
        <v>46163</v>
      </c>
      <c r="E83" s="26">
        <v>46173</v>
      </c>
      <c r="F83" s="27">
        <f>E83-D83</f>
        <v>10</v>
      </c>
      <c r="G83" s="27" t="s">
        <v>164</v>
      </c>
      <c r="H83" s="1" t="s">
        <v>17</v>
      </c>
      <c r="I83" s="27" t="s">
        <v>2</v>
      </c>
      <c r="J83" s="17" t="s">
        <v>321</v>
      </c>
      <c r="K83" s="30">
        <v>36030</v>
      </c>
      <c r="L83" s="17" t="s">
        <v>109</v>
      </c>
      <c r="M83" s="26">
        <v>46163</v>
      </c>
      <c r="N83" s="17" t="s">
        <v>102</v>
      </c>
      <c r="O83" s="26">
        <v>46166</v>
      </c>
      <c r="P83" s="17" t="s">
        <v>17</v>
      </c>
      <c r="Q83" s="26"/>
      <c r="R83" s="31">
        <f>31380.91-18544.61</f>
        <v>12836.3</v>
      </c>
      <c r="S83" s="32">
        <f>22823.39-18544.61</f>
        <v>4278.7799999999988</v>
      </c>
      <c r="T83" s="31">
        <f>5239.72-3493.16</f>
        <v>1746.5600000000004</v>
      </c>
      <c r="U83" s="32">
        <f>4075.32-3493.16</f>
        <v>582.16000000000031</v>
      </c>
      <c r="V83" s="5" t="s">
        <v>319</v>
      </c>
      <c r="W83" s="5" t="s">
        <v>319</v>
      </c>
      <c r="X83" s="17" t="s">
        <v>18</v>
      </c>
      <c r="Y83" s="15">
        <v>8793.85</v>
      </c>
    </row>
    <row r="84" spans="1:25" x14ac:dyDescent="0.2">
      <c r="A84" s="1" t="s">
        <v>15</v>
      </c>
      <c r="B84" s="1" t="s">
        <v>0</v>
      </c>
      <c r="C84" s="12" t="s">
        <v>78</v>
      </c>
      <c r="D84" s="3">
        <v>46160</v>
      </c>
      <c r="E84" s="3">
        <v>46174</v>
      </c>
      <c r="F84" s="2">
        <f>E84-D84</f>
        <v>14</v>
      </c>
      <c r="G84" s="2" t="s">
        <v>164</v>
      </c>
      <c r="H84" s="1" t="s">
        <v>17</v>
      </c>
      <c r="I84" s="2" t="s">
        <v>2</v>
      </c>
      <c r="J84" s="1" t="s">
        <v>321</v>
      </c>
      <c r="K84" s="14">
        <v>32710</v>
      </c>
      <c r="L84" s="1" t="s">
        <v>1</v>
      </c>
      <c r="M84" s="3">
        <v>46160</v>
      </c>
      <c r="N84" s="1" t="s">
        <v>39</v>
      </c>
      <c r="O84" s="3">
        <v>46163</v>
      </c>
      <c r="P84" s="1" t="s">
        <v>17</v>
      </c>
      <c r="Q84" s="3"/>
      <c r="R84" s="4">
        <f>26277.89-15454.26</f>
        <v>10823.63</v>
      </c>
      <c r="S84" s="5">
        <f>18754.46-15454.26</f>
        <v>3300.1999999999989</v>
      </c>
      <c r="T84" s="4">
        <f>5677.37-3274.76</f>
        <v>2402.6099999999997</v>
      </c>
      <c r="U84" s="5">
        <f>4073.17-3274.76</f>
        <v>798.40999999999985</v>
      </c>
      <c r="V84" s="5" t="s">
        <v>319</v>
      </c>
      <c r="W84" s="5" t="s">
        <v>319</v>
      </c>
      <c r="X84" s="1" t="s">
        <v>18</v>
      </c>
      <c r="Y84" s="15">
        <v>7599.62</v>
      </c>
    </row>
    <row r="85" spans="1:25" x14ac:dyDescent="0.2">
      <c r="A85" s="1" t="s">
        <v>15</v>
      </c>
      <c r="B85" s="1" t="s">
        <v>13</v>
      </c>
      <c r="C85" s="13" t="s">
        <v>22</v>
      </c>
      <c r="D85" s="7">
        <v>46163</v>
      </c>
      <c r="E85" s="7">
        <v>46179</v>
      </c>
      <c r="F85" s="2">
        <f>E85-D85</f>
        <v>16</v>
      </c>
      <c r="G85" s="2" t="s">
        <v>164</v>
      </c>
      <c r="H85" s="1" t="s">
        <v>291</v>
      </c>
      <c r="I85" s="2" t="s">
        <v>2</v>
      </c>
      <c r="J85" s="1" t="s">
        <v>321</v>
      </c>
      <c r="K85" s="14">
        <v>25691.84</v>
      </c>
      <c r="L85" s="1" t="s">
        <v>19</v>
      </c>
      <c r="M85" s="3">
        <v>46163</v>
      </c>
      <c r="N85" s="1" t="s">
        <v>26</v>
      </c>
      <c r="O85" s="3">
        <v>46174</v>
      </c>
      <c r="P85" s="1" t="s">
        <v>21</v>
      </c>
      <c r="Q85" s="3">
        <v>46166</v>
      </c>
      <c r="R85" s="4" t="s">
        <v>319</v>
      </c>
      <c r="S85" s="5" t="s">
        <v>319</v>
      </c>
      <c r="T85" s="4" t="s">
        <v>319</v>
      </c>
      <c r="U85" s="5" t="s">
        <v>319</v>
      </c>
      <c r="V85" s="5" t="s">
        <v>319</v>
      </c>
      <c r="W85" s="5" t="s">
        <v>319</v>
      </c>
      <c r="X85" s="1" t="s">
        <v>18</v>
      </c>
      <c r="Y85" s="15">
        <v>11348.31</v>
      </c>
    </row>
    <row r="86" spans="1:25" x14ac:dyDescent="0.2">
      <c r="A86" s="17" t="s">
        <v>15</v>
      </c>
      <c r="B86" s="17" t="s">
        <v>128</v>
      </c>
      <c r="C86" s="23" t="s">
        <v>129</v>
      </c>
      <c r="D86" s="26">
        <v>46160</v>
      </c>
      <c r="E86" s="26">
        <v>46179</v>
      </c>
      <c r="F86" s="27">
        <f>E86-D86</f>
        <v>19</v>
      </c>
      <c r="G86" s="27" t="s">
        <v>164</v>
      </c>
      <c r="H86" s="1" t="s">
        <v>291</v>
      </c>
      <c r="I86" s="27" t="s">
        <v>2</v>
      </c>
      <c r="J86" s="17" t="s">
        <v>321</v>
      </c>
      <c r="K86" s="30">
        <v>26960</v>
      </c>
      <c r="L86" s="17" t="s">
        <v>1</v>
      </c>
      <c r="M86" s="26">
        <v>46160</v>
      </c>
      <c r="N86" s="17" t="s">
        <v>39</v>
      </c>
      <c r="O86" s="26">
        <v>46174</v>
      </c>
      <c r="P86" s="17" t="s">
        <v>99</v>
      </c>
      <c r="Q86" s="26">
        <v>46163</v>
      </c>
      <c r="R86" s="31">
        <f>3058.03-2293.51</f>
        <v>764.52</v>
      </c>
      <c r="S86" s="32">
        <f>2547.15-2293.51</f>
        <v>253.63999999999987</v>
      </c>
      <c r="T86" s="31">
        <f>5677.37-3274.76</f>
        <v>2402.6099999999997</v>
      </c>
      <c r="U86" s="32">
        <f>4073.17-3274.76</f>
        <v>798.40999999999985</v>
      </c>
      <c r="V86" s="32">
        <f>13142.86-7151.69</f>
        <v>5991.170000000001</v>
      </c>
      <c r="W86" s="32">
        <f>9154.23-7151.63</f>
        <v>2002.5999999999995</v>
      </c>
      <c r="X86" s="17" t="s">
        <v>18</v>
      </c>
      <c r="Y86" s="15">
        <v>7599.62</v>
      </c>
    </row>
    <row r="87" spans="1:25" x14ac:dyDescent="0.2">
      <c r="A87" s="17" t="s">
        <v>15</v>
      </c>
      <c r="B87" s="17" t="s">
        <v>35</v>
      </c>
      <c r="C87" s="25" t="s">
        <v>77</v>
      </c>
      <c r="D87" s="26">
        <v>46160</v>
      </c>
      <c r="E87" s="26">
        <v>46182</v>
      </c>
      <c r="F87" s="27">
        <f>E87-D87</f>
        <v>22</v>
      </c>
      <c r="G87" s="27" t="s">
        <v>20</v>
      </c>
      <c r="H87" s="1" t="s">
        <v>291</v>
      </c>
      <c r="I87" s="27" t="s">
        <v>2</v>
      </c>
      <c r="J87" s="17" t="s">
        <v>321</v>
      </c>
      <c r="K87" s="30">
        <v>28830</v>
      </c>
      <c r="L87" s="17" t="s">
        <v>1</v>
      </c>
      <c r="M87" s="26">
        <v>46179</v>
      </c>
      <c r="N87" s="17" t="s">
        <v>131</v>
      </c>
      <c r="O87" s="26">
        <v>46173</v>
      </c>
      <c r="P87" s="17" t="s">
        <v>30</v>
      </c>
      <c r="Q87" s="26">
        <v>46160</v>
      </c>
      <c r="R87" s="31">
        <f>6984.95-5238.71</f>
        <v>1746.2399999999998</v>
      </c>
      <c r="S87" s="32">
        <f>5820.79-5238.71</f>
        <v>582.07999999999993</v>
      </c>
      <c r="T87" s="31">
        <f>4017.62-2357.58</f>
        <v>1660.04</v>
      </c>
      <c r="U87" s="32">
        <f>2910.39-2357.85</f>
        <v>552.54</v>
      </c>
      <c r="V87" s="32">
        <f>8792.88-4954.51</f>
        <v>3838.369999999999</v>
      </c>
      <c r="W87" s="32">
        <f>6248.33-4954.51</f>
        <v>1293.8199999999997</v>
      </c>
      <c r="X87" s="17" t="s">
        <v>18</v>
      </c>
      <c r="Y87" s="15">
        <v>7237.02</v>
      </c>
    </row>
    <row r="88" spans="1:25" x14ac:dyDescent="0.2">
      <c r="A88" s="17" t="s">
        <v>15</v>
      </c>
      <c r="B88" s="17" t="s">
        <v>31</v>
      </c>
      <c r="C88" s="25" t="s">
        <v>82</v>
      </c>
      <c r="D88" s="26">
        <v>46161</v>
      </c>
      <c r="E88" s="26">
        <v>46176</v>
      </c>
      <c r="F88" s="27">
        <f>E88-D88</f>
        <v>15</v>
      </c>
      <c r="G88" s="27" t="s">
        <v>20</v>
      </c>
      <c r="H88" s="1" t="s">
        <v>17</v>
      </c>
      <c r="I88" s="27" t="s">
        <v>24</v>
      </c>
      <c r="J88" s="1" t="s">
        <v>322</v>
      </c>
      <c r="K88" s="30">
        <v>27975</v>
      </c>
      <c r="L88" s="17" t="s">
        <v>1</v>
      </c>
      <c r="M88" s="26">
        <v>46173</v>
      </c>
      <c r="N88" s="17" t="s">
        <v>32</v>
      </c>
      <c r="O88" s="26">
        <v>46161</v>
      </c>
      <c r="P88" s="17" t="s">
        <v>17</v>
      </c>
      <c r="Q88" s="26"/>
      <c r="R88" s="4" t="s">
        <v>319</v>
      </c>
      <c r="S88" s="5" t="s">
        <v>319</v>
      </c>
      <c r="T88" s="4" t="s">
        <v>319</v>
      </c>
      <c r="U88" s="5" t="s">
        <v>319</v>
      </c>
      <c r="V88" s="5" t="s">
        <v>319</v>
      </c>
      <c r="W88" s="5" t="s">
        <v>319</v>
      </c>
      <c r="X88" s="17" t="s">
        <v>18</v>
      </c>
      <c r="Y88" s="15">
        <v>7599.62</v>
      </c>
    </row>
    <row r="89" spans="1:25" x14ac:dyDescent="0.2">
      <c r="A89" s="17" t="s">
        <v>15</v>
      </c>
      <c r="B89" s="17" t="s">
        <v>34</v>
      </c>
      <c r="C89" s="23" t="s">
        <v>130</v>
      </c>
      <c r="D89" s="26">
        <v>46160</v>
      </c>
      <c r="E89" s="26">
        <v>46182</v>
      </c>
      <c r="F89" s="27">
        <f>E89-D89</f>
        <v>22</v>
      </c>
      <c r="G89" s="27" t="s">
        <v>20</v>
      </c>
      <c r="H89" s="1" t="s">
        <v>17</v>
      </c>
      <c r="I89" s="27" t="s">
        <v>24</v>
      </c>
      <c r="J89" s="1" t="s">
        <v>322</v>
      </c>
      <c r="K89" s="30">
        <v>27060</v>
      </c>
      <c r="L89" s="17" t="s">
        <v>1</v>
      </c>
      <c r="M89" s="26">
        <v>46179</v>
      </c>
      <c r="N89" s="17" t="s">
        <v>32</v>
      </c>
      <c r="O89" s="26">
        <v>46160</v>
      </c>
      <c r="P89" s="17" t="s">
        <v>17</v>
      </c>
      <c r="Q89" s="26"/>
      <c r="R89" s="4" t="s">
        <v>319</v>
      </c>
      <c r="S89" s="5" t="s">
        <v>319</v>
      </c>
      <c r="T89" s="4" t="s">
        <v>319</v>
      </c>
      <c r="U89" s="5" t="s">
        <v>319</v>
      </c>
      <c r="V89" s="5" t="s">
        <v>319</v>
      </c>
      <c r="W89" s="5" t="s">
        <v>319</v>
      </c>
      <c r="X89" s="17" t="s">
        <v>18</v>
      </c>
      <c r="Y89" s="15">
        <v>7237.02</v>
      </c>
    </row>
    <row r="90" spans="1:25" x14ac:dyDescent="0.2">
      <c r="A90" s="17" t="s">
        <v>15</v>
      </c>
      <c r="B90" s="17" t="s">
        <v>37</v>
      </c>
      <c r="C90" s="25" t="s">
        <v>81</v>
      </c>
      <c r="D90" s="26">
        <v>46160</v>
      </c>
      <c r="E90" s="26">
        <v>46174</v>
      </c>
      <c r="F90" s="27">
        <f>E90-D90</f>
        <v>14</v>
      </c>
      <c r="G90" s="27" t="s">
        <v>164</v>
      </c>
      <c r="H90" s="1" t="s">
        <v>17</v>
      </c>
      <c r="I90" s="27" t="s">
        <v>25</v>
      </c>
      <c r="J90" s="1" t="s">
        <v>322</v>
      </c>
      <c r="K90" s="30">
        <v>24335</v>
      </c>
      <c r="L90" s="17" t="s">
        <v>1</v>
      </c>
      <c r="M90" s="26">
        <v>46160</v>
      </c>
      <c r="N90" s="17" t="s">
        <v>36</v>
      </c>
      <c r="O90" s="26">
        <v>46163</v>
      </c>
      <c r="P90" s="17" t="s">
        <v>17</v>
      </c>
      <c r="Q90" s="26"/>
      <c r="R90" s="4" t="s">
        <v>319</v>
      </c>
      <c r="S90" s="5" t="s">
        <v>319</v>
      </c>
      <c r="T90" s="4" t="s">
        <v>319</v>
      </c>
      <c r="U90" s="5" t="s">
        <v>319</v>
      </c>
      <c r="V90" s="5" t="s">
        <v>319</v>
      </c>
      <c r="W90" s="5" t="s">
        <v>319</v>
      </c>
      <c r="X90" s="17" t="s">
        <v>18</v>
      </c>
      <c r="Y90" s="15">
        <v>7600</v>
      </c>
    </row>
    <row r="91" spans="1:25" x14ac:dyDescent="0.2">
      <c r="A91" s="17" t="s">
        <v>15</v>
      </c>
      <c r="B91" s="17" t="s">
        <v>38</v>
      </c>
      <c r="C91" s="25" t="s">
        <v>76</v>
      </c>
      <c r="D91" s="26">
        <v>46160</v>
      </c>
      <c r="E91" s="26">
        <v>46174</v>
      </c>
      <c r="F91" s="27">
        <f>E91-D91</f>
        <v>14</v>
      </c>
      <c r="G91" s="27" t="s">
        <v>164</v>
      </c>
      <c r="H91" s="1" t="s">
        <v>17</v>
      </c>
      <c r="I91" s="27" t="s">
        <v>25</v>
      </c>
      <c r="J91" s="1" t="s">
        <v>322</v>
      </c>
      <c r="K91" s="30">
        <v>24335</v>
      </c>
      <c r="L91" s="17" t="s">
        <v>1</v>
      </c>
      <c r="M91" s="26">
        <v>46160</v>
      </c>
      <c r="N91" s="17" t="s">
        <v>36</v>
      </c>
      <c r="O91" s="26">
        <v>46163</v>
      </c>
      <c r="P91" s="17" t="s">
        <v>17</v>
      </c>
      <c r="Q91" s="26"/>
      <c r="R91" s="4" t="s">
        <v>319</v>
      </c>
      <c r="S91" s="5" t="s">
        <v>319</v>
      </c>
      <c r="T91" s="4" t="s">
        <v>319</v>
      </c>
      <c r="U91" s="5" t="s">
        <v>319</v>
      </c>
      <c r="V91" s="5" t="s">
        <v>319</v>
      </c>
      <c r="W91" s="5" t="s">
        <v>319</v>
      </c>
      <c r="X91" s="17" t="s">
        <v>18</v>
      </c>
      <c r="Y91" s="15">
        <v>7600</v>
      </c>
    </row>
    <row r="92" spans="1:25" x14ac:dyDescent="0.2">
      <c r="A92" s="17" t="s">
        <v>15</v>
      </c>
      <c r="B92" s="17" t="s">
        <v>124</v>
      </c>
      <c r="C92" s="23" t="s">
        <v>125</v>
      </c>
      <c r="D92" s="26">
        <v>46160</v>
      </c>
      <c r="E92" s="26">
        <v>46174</v>
      </c>
      <c r="F92" s="27">
        <f>E92-D92</f>
        <v>14</v>
      </c>
      <c r="G92" s="27" t="s">
        <v>164</v>
      </c>
      <c r="H92" s="1" t="s">
        <v>115</v>
      </c>
      <c r="I92" s="27" t="s">
        <v>25</v>
      </c>
      <c r="J92" s="1" t="s">
        <v>322</v>
      </c>
      <c r="K92" s="30">
        <v>25000</v>
      </c>
      <c r="L92" s="17" t="s">
        <v>126</v>
      </c>
      <c r="M92" s="26">
        <v>46160</v>
      </c>
      <c r="N92" s="17" t="s">
        <v>127</v>
      </c>
      <c r="O92" s="26">
        <v>46163</v>
      </c>
      <c r="P92" s="17" t="s">
        <v>115</v>
      </c>
      <c r="Q92" s="26"/>
      <c r="R92" s="4" t="s">
        <v>319</v>
      </c>
      <c r="S92" s="32">
        <f>8915.91-8911.76</f>
        <v>4.1499999999996362</v>
      </c>
      <c r="T92" s="31">
        <f>326483-2203.82</f>
        <v>324279.18</v>
      </c>
      <c r="U92" s="32">
        <f>2720.38-2203.82</f>
        <v>516.55999999999995</v>
      </c>
      <c r="V92" s="5" t="s">
        <v>319</v>
      </c>
      <c r="W92" s="5" t="s">
        <v>319</v>
      </c>
      <c r="X92" s="17" t="s">
        <v>18</v>
      </c>
      <c r="Y92" s="15">
        <v>9986.98</v>
      </c>
    </row>
    <row r="93" spans="1:25" x14ac:dyDescent="0.2">
      <c r="A93" s="17" t="s">
        <v>15</v>
      </c>
      <c r="B93" s="17" t="s">
        <v>217</v>
      </c>
      <c r="C93" s="22" t="s">
        <v>249</v>
      </c>
      <c r="D93" s="28">
        <v>46159</v>
      </c>
      <c r="E93" s="28">
        <v>46175</v>
      </c>
      <c r="F93" s="27">
        <f>E93-D93</f>
        <v>16</v>
      </c>
      <c r="G93" s="27" t="s">
        <v>164</v>
      </c>
      <c r="H93" s="1" t="s">
        <v>17</v>
      </c>
      <c r="I93" s="27" t="s">
        <v>25</v>
      </c>
      <c r="J93" s="1" t="s">
        <v>322</v>
      </c>
      <c r="K93" s="30">
        <v>25869.68</v>
      </c>
      <c r="L93" s="17" t="s">
        <v>269</v>
      </c>
      <c r="M93" s="26">
        <v>46159</v>
      </c>
      <c r="N93" s="17" t="s">
        <v>277</v>
      </c>
      <c r="O93" s="26">
        <v>46162</v>
      </c>
      <c r="P93" s="17" t="s">
        <v>17</v>
      </c>
      <c r="Q93" s="26"/>
      <c r="R93" s="4" t="s">
        <v>319</v>
      </c>
      <c r="S93" s="5" t="s">
        <v>319</v>
      </c>
      <c r="T93" s="4" t="s">
        <v>319</v>
      </c>
      <c r="U93" s="5" t="s">
        <v>319</v>
      </c>
      <c r="V93" s="5" t="s">
        <v>319</v>
      </c>
      <c r="W93" s="5" t="s">
        <v>319</v>
      </c>
      <c r="X93" s="17" t="s">
        <v>289</v>
      </c>
      <c r="Y93" s="15">
        <v>11158.66</v>
      </c>
    </row>
    <row r="94" spans="1:25" x14ac:dyDescent="0.2">
      <c r="A94" s="17" t="s">
        <v>15</v>
      </c>
      <c r="B94" s="17" t="s">
        <v>219</v>
      </c>
      <c r="C94" s="22" t="s">
        <v>251</v>
      </c>
      <c r="D94" s="28">
        <v>46162</v>
      </c>
      <c r="E94" s="28">
        <v>46178</v>
      </c>
      <c r="F94" s="27">
        <f>E94-D94</f>
        <v>16</v>
      </c>
      <c r="G94" s="27" t="s">
        <v>164</v>
      </c>
      <c r="H94" s="1" t="s">
        <v>17</v>
      </c>
      <c r="I94" s="27" t="s">
        <v>25</v>
      </c>
      <c r="J94" s="1" t="s">
        <v>322</v>
      </c>
      <c r="K94" s="30">
        <v>23740.59</v>
      </c>
      <c r="L94" s="17" t="s">
        <v>279</v>
      </c>
      <c r="M94" s="26">
        <v>46162</v>
      </c>
      <c r="N94" s="17" t="s">
        <v>280</v>
      </c>
      <c r="O94" s="26">
        <v>46165</v>
      </c>
      <c r="P94" s="17" t="s">
        <v>17</v>
      </c>
      <c r="Q94" s="26"/>
      <c r="R94" s="31">
        <v>770.84</v>
      </c>
      <c r="S94" s="5" t="s">
        <v>319</v>
      </c>
      <c r="T94" s="31">
        <v>1576.48</v>
      </c>
      <c r="U94" s="5" t="s">
        <v>319</v>
      </c>
      <c r="V94" s="5" t="s">
        <v>319</v>
      </c>
      <c r="W94" s="5" t="s">
        <v>319</v>
      </c>
      <c r="X94" s="17" t="s">
        <v>288</v>
      </c>
      <c r="Y94" s="15">
        <v>0</v>
      </c>
    </row>
    <row r="95" spans="1:25" x14ac:dyDescent="0.2">
      <c r="A95" s="17" t="s">
        <v>15</v>
      </c>
      <c r="B95" s="17" t="s">
        <v>27</v>
      </c>
      <c r="C95" s="22" t="s">
        <v>80</v>
      </c>
      <c r="D95" s="26">
        <v>46160</v>
      </c>
      <c r="E95" s="26">
        <v>46176</v>
      </c>
      <c r="F95" s="27">
        <f>E95-D95</f>
        <v>16</v>
      </c>
      <c r="G95" s="27" t="s">
        <v>20</v>
      </c>
      <c r="H95" s="1" t="s">
        <v>17</v>
      </c>
      <c r="I95" s="27" t="s">
        <v>25</v>
      </c>
      <c r="J95" s="1" t="s">
        <v>322</v>
      </c>
      <c r="K95" s="30">
        <v>23520</v>
      </c>
      <c r="L95" s="17" t="s">
        <v>113</v>
      </c>
      <c r="M95" s="26">
        <v>46173</v>
      </c>
      <c r="N95" s="17" t="s">
        <v>114</v>
      </c>
      <c r="O95" s="26">
        <v>46160</v>
      </c>
      <c r="P95" s="17" t="s">
        <v>17</v>
      </c>
      <c r="Q95" s="26"/>
      <c r="R95" s="4" t="s">
        <v>319</v>
      </c>
      <c r="S95" s="5" t="s">
        <v>319</v>
      </c>
      <c r="T95" s="4" t="s">
        <v>319</v>
      </c>
      <c r="U95" s="5" t="s">
        <v>319</v>
      </c>
      <c r="V95" s="5" t="s">
        <v>319</v>
      </c>
      <c r="W95" s="5" t="s">
        <v>319</v>
      </c>
      <c r="X95" s="17" t="s">
        <v>18</v>
      </c>
      <c r="Y95" s="15">
        <v>5473</v>
      </c>
    </row>
    <row r="96" spans="1:25" x14ac:dyDescent="0.2">
      <c r="A96" s="17" t="s">
        <v>15</v>
      </c>
      <c r="B96" s="17" t="s">
        <v>27</v>
      </c>
      <c r="C96" s="23" t="s">
        <v>80</v>
      </c>
      <c r="D96" s="26">
        <v>46160</v>
      </c>
      <c r="E96" s="26">
        <v>46176</v>
      </c>
      <c r="F96" s="27">
        <f>E96-D96</f>
        <v>16</v>
      </c>
      <c r="G96" s="27" t="s">
        <v>20</v>
      </c>
      <c r="H96" s="1" t="s">
        <v>115</v>
      </c>
      <c r="I96" s="27" t="s">
        <v>25</v>
      </c>
      <c r="J96" s="1" t="s">
        <v>322</v>
      </c>
      <c r="K96" s="30">
        <v>23520</v>
      </c>
      <c r="L96" s="17" t="s">
        <v>113</v>
      </c>
      <c r="M96" s="26">
        <v>46173</v>
      </c>
      <c r="N96" s="17" t="s">
        <v>114</v>
      </c>
      <c r="O96" s="26">
        <v>46160</v>
      </c>
      <c r="P96" s="17" t="s">
        <v>115</v>
      </c>
      <c r="Q96" s="26"/>
      <c r="R96" s="31">
        <f>10143.14-5655.39</f>
        <v>4487.7499999999991</v>
      </c>
      <c r="S96" s="32">
        <f>7151.21-5655.39</f>
        <v>1495.8199999999997</v>
      </c>
      <c r="T96" s="31">
        <f>3853.05-2102.05</f>
        <v>1751</v>
      </c>
      <c r="U96" s="32">
        <f>2685.68-2102.05</f>
        <v>583.62999999999965</v>
      </c>
      <c r="V96" s="5" t="s">
        <v>319</v>
      </c>
      <c r="W96" s="5" t="s">
        <v>319</v>
      </c>
      <c r="X96" s="17" t="s">
        <v>18</v>
      </c>
      <c r="Y96" s="15">
        <v>7599.62</v>
      </c>
    </row>
    <row r="97" spans="1:25" x14ac:dyDescent="0.2">
      <c r="A97" s="17" t="s">
        <v>15</v>
      </c>
      <c r="B97" s="17" t="s">
        <v>28</v>
      </c>
      <c r="C97" s="25" t="s">
        <v>75</v>
      </c>
      <c r="D97" s="26">
        <v>46160</v>
      </c>
      <c r="E97" s="26">
        <v>46176</v>
      </c>
      <c r="F97" s="27">
        <f>E97-D97</f>
        <v>16</v>
      </c>
      <c r="G97" s="27" t="s">
        <v>20</v>
      </c>
      <c r="H97" s="1" t="s">
        <v>115</v>
      </c>
      <c r="I97" s="27" t="s">
        <v>25</v>
      </c>
      <c r="J97" s="1" t="s">
        <v>322</v>
      </c>
      <c r="K97" s="30">
        <v>23935</v>
      </c>
      <c r="L97" s="17" t="s">
        <v>29</v>
      </c>
      <c r="M97" s="26">
        <v>46173</v>
      </c>
      <c r="N97" s="17" t="s">
        <v>30</v>
      </c>
      <c r="O97" s="26">
        <v>46160</v>
      </c>
      <c r="P97" s="17" t="s">
        <v>115</v>
      </c>
      <c r="Q97" s="17"/>
      <c r="R97" s="31">
        <f>8792.88-4954.51</f>
        <v>3838.369999999999</v>
      </c>
      <c r="S97" s="32">
        <f>6248.33-4954.51</f>
        <v>1293.8199999999997</v>
      </c>
      <c r="T97" s="31">
        <f>4885.49-2890.81</f>
        <v>1994.6799999999998</v>
      </c>
      <c r="U97" s="32">
        <f>3579.12-2890.81</f>
        <v>688.31</v>
      </c>
      <c r="V97" s="5" t="s">
        <v>319</v>
      </c>
      <c r="W97" s="5" t="s">
        <v>319</v>
      </c>
      <c r="X97" s="17" t="s">
        <v>18</v>
      </c>
      <c r="Y97" s="15">
        <v>7600</v>
      </c>
    </row>
    <row r="98" spans="1:25" x14ac:dyDescent="0.2">
      <c r="A98" s="17" t="s">
        <v>15</v>
      </c>
      <c r="B98" s="17" t="s">
        <v>121</v>
      </c>
      <c r="C98" s="23" t="s">
        <v>122</v>
      </c>
      <c r="D98" s="26">
        <v>46160</v>
      </c>
      <c r="E98" s="26">
        <v>46176</v>
      </c>
      <c r="F98" s="27">
        <f>E98-D98</f>
        <v>16</v>
      </c>
      <c r="G98" s="27" t="s">
        <v>164</v>
      </c>
      <c r="H98" s="1" t="s">
        <v>115</v>
      </c>
      <c r="I98" s="27" t="s">
        <v>25</v>
      </c>
      <c r="J98" s="1" t="s">
        <v>322</v>
      </c>
      <c r="K98" s="30">
        <v>24415</v>
      </c>
      <c r="L98" s="17" t="s">
        <v>123</v>
      </c>
      <c r="M98" s="26">
        <v>46160</v>
      </c>
      <c r="N98" s="17" t="s">
        <v>99</v>
      </c>
      <c r="O98" s="26">
        <v>46163</v>
      </c>
      <c r="P98" s="17" t="s">
        <v>115</v>
      </c>
      <c r="Q98" s="26"/>
      <c r="R98" s="31">
        <f>13142.86-7151.69</f>
        <v>5991.170000000001</v>
      </c>
      <c r="S98" s="32">
        <f>9154.23-7151.69</f>
        <v>2002.54</v>
      </c>
      <c r="T98" s="31">
        <f>5261.27-2977.56</f>
        <v>2283.7100000000005</v>
      </c>
      <c r="U98" s="32">
        <f>3726.37-2977.56</f>
        <v>748.81</v>
      </c>
      <c r="V98" s="5" t="s">
        <v>319</v>
      </c>
      <c r="W98" s="5" t="s">
        <v>319</v>
      </c>
      <c r="X98" s="17" t="s">
        <v>98</v>
      </c>
      <c r="Y98" s="15">
        <v>6188.27</v>
      </c>
    </row>
    <row r="99" spans="1:25" x14ac:dyDescent="0.2">
      <c r="A99" s="17" t="s">
        <v>15</v>
      </c>
      <c r="B99" s="17" t="s">
        <v>224</v>
      </c>
      <c r="C99" s="22" t="s">
        <v>254</v>
      </c>
      <c r="D99" s="28">
        <v>46156</v>
      </c>
      <c r="E99" s="28">
        <v>46174</v>
      </c>
      <c r="F99" s="27">
        <f>E99-D99</f>
        <v>18</v>
      </c>
      <c r="G99" s="27" t="s">
        <v>164</v>
      </c>
      <c r="H99" s="1" t="s">
        <v>17</v>
      </c>
      <c r="I99" s="27" t="s">
        <v>25</v>
      </c>
      <c r="J99" s="1" t="s">
        <v>322</v>
      </c>
      <c r="K99" s="30">
        <v>26259.89</v>
      </c>
      <c r="L99" s="17" t="s">
        <v>269</v>
      </c>
      <c r="M99" s="26">
        <v>46156</v>
      </c>
      <c r="N99" s="17" t="s">
        <v>283</v>
      </c>
      <c r="O99" s="26">
        <v>46159</v>
      </c>
      <c r="P99" s="17" t="s">
        <v>17</v>
      </c>
      <c r="Q99" s="26"/>
      <c r="R99" s="4" t="s">
        <v>319</v>
      </c>
      <c r="S99" s="5" t="s">
        <v>319</v>
      </c>
      <c r="T99" s="4" t="s">
        <v>319</v>
      </c>
      <c r="U99" s="5" t="s">
        <v>319</v>
      </c>
      <c r="V99" s="5" t="s">
        <v>319</v>
      </c>
      <c r="W99" s="5" t="s">
        <v>319</v>
      </c>
      <c r="X99" s="17" t="s">
        <v>288</v>
      </c>
      <c r="Y99" s="15">
        <v>0</v>
      </c>
    </row>
    <row r="100" spans="1:25" x14ac:dyDescent="0.2">
      <c r="A100" s="17" t="s">
        <v>15</v>
      </c>
      <c r="B100" s="17" t="s">
        <v>96</v>
      </c>
      <c r="C100" s="25" t="s">
        <v>104</v>
      </c>
      <c r="D100" s="26">
        <v>46157</v>
      </c>
      <c r="E100" s="26">
        <v>46176</v>
      </c>
      <c r="F100" s="27">
        <f>E100-D100</f>
        <v>19</v>
      </c>
      <c r="G100" s="27" t="s">
        <v>164</v>
      </c>
      <c r="H100" s="1" t="s">
        <v>115</v>
      </c>
      <c r="I100" s="27" t="s">
        <v>25</v>
      </c>
      <c r="J100" s="1" t="s">
        <v>322</v>
      </c>
      <c r="K100" s="30">
        <v>22790.01</v>
      </c>
      <c r="L100" s="17" t="s">
        <v>95</v>
      </c>
      <c r="M100" s="26">
        <v>46157</v>
      </c>
      <c r="N100" s="17" t="s">
        <v>30</v>
      </c>
      <c r="O100" s="26">
        <v>46160</v>
      </c>
      <c r="P100" s="17" t="s">
        <v>115</v>
      </c>
      <c r="Q100" s="26"/>
      <c r="R100" s="4" t="s">
        <v>319</v>
      </c>
      <c r="S100" s="5" t="s">
        <v>319</v>
      </c>
      <c r="T100" s="4" t="s">
        <v>319</v>
      </c>
      <c r="U100" s="5" t="s">
        <v>319</v>
      </c>
      <c r="V100" s="5" t="s">
        <v>319</v>
      </c>
      <c r="W100" s="5" t="s">
        <v>319</v>
      </c>
      <c r="X100" s="17" t="s">
        <v>18</v>
      </c>
      <c r="Y100" s="15">
        <v>7327.12</v>
      </c>
    </row>
    <row r="101" spans="1:25" x14ac:dyDescent="0.2">
      <c r="A101" s="17" t="s">
        <v>15</v>
      </c>
      <c r="B101" s="17" t="s">
        <v>94</v>
      </c>
      <c r="C101" s="25" t="s">
        <v>103</v>
      </c>
      <c r="D101" s="26">
        <v>46157</v>
      </c>
      <c r="E101" s="26">
        <v>46176</v>
      </c>
      <c r="F101" s="27">
        <f>E101-D101</f>
        <v>19</v>
      </c>
      <c r="G101" s="27" t="s">
        <v>164</v>
      </c>
      <c r="H101" s="1" t="s">
        <v>115</v>
      </c>
      <c r="I101" s="27" t="s">
        <v>25</v>
      </c>
      <c r="J101" s="1" t="s">
        <v>322</v>
      </c>
      <c r="K101" s="30">
        <v>22790.01</v>
      </c>
      <c r="L101" s="17" t="s">
        <v>95</v>
      </c>
      <c r="M101" s="26">
        <v>46157</v>
      </c>
      <c r="N101" s="17" t="s">
        <v>30</v>
      </c>
      <c r="O101" s="26">
        <v>46160</v>
      </c>
      <c r="P101" s="17" t="s">
        <v>115</v>
      </c>
      <c r="Q101" s="17"/>
      <c r="R101" s="31">
        <v>4359.91</v>
      </c>
      <c r="S101" s="5" t="s">
        <v>319</v>
      </c>
      <c r="T101" s="4" t="s">
        <v>319</v>
      </c>
      <c r="U101" s="5" t="s">
        <v>319</v>
      </c>
      <c r="V101" s="5" t="s">
        <v>319</v>
      </c>
      <c r="W101" s="5" t="s">
        <v>319</v>
      </c>
      <c r="X101" s="17" t="s">
        <v>18</v>
      </c>
      <c r="Y101" s="15">
        <v>7327.12</v>
      </c>
    </row>
    <row r="102" spans="1:25" x14ac:dyDescent="0.2">
      <c r="A102" s="17" t="s">
        <v>15</v>
      </c>
      <c r="B102" s="17" t="s">
        <v>94</v>
      </c>
      <c r="C102" s="23" t="s">
        <v>103</v>
      </c>
      <c r="D102" s="26">
        <v>46157</v>
      </c>
      <c r="E102" s="26">
        <v>46176</v>
      </c>
      <c r="F102" s="27">
        <f>E102-D102</f>
        <v>19</v>
      </c>
      <c r="G102" s="27" t="s">
        <v>164</v>
      </c>
      <c r="H102" s="1" t="s">
        <v>115</v>
      </c>
      <c r="I102" s="27" t="s">
        <v>25</v>
      </c>
      <c r="J102" s="1" t="s">
        <v>322</v>
      </c>
      <c r="K102" s="30">
        <v>22790.01</v>
      </c>
      <c r="L102" s="17" t="s">
        <v>95</v>
      </c>
      <c r="M102" s="26">
        <v>46157</v>
      </c>
      <c r="N102" s="17" t="s">
        <v>30</v>
      </c>
      <c r="O102" s="26">
        <v>46160</v>
      </c>
      <c r="P102" s="17" t="s">
        <v>115</v>
      </c>
      <c r="Q102" s="26"/>
      <c r="R102" s="31">
        <f>8792.88-4954.51</f>
        <v>3838.369999999999</v>
      </c>
      <c r="S102" s="32">
        <f>6248.33-4954.51</f>
        <v>1293.8199999999997</v>
      </c>
      <c r="T102" s="31">
        <f>1287.61-766.07</f>
        <v>521.53999999999985</v>
      </c>
      <c r="U102" s="32">
        <f>932.26-766.07</f>
        <v>166.18999999999994</v>
      </c>
      <c r="V102" s="5" t="s">
        <v>319</v>
      </c>
      <c r="W102" s="5" t="s">
        <v>319</v>
      </c>
      <c r="X102" s="17" t="s">
        <v>18</v>
      </c>
      <c r="Y102" s="15">
        <v>7327.12</v>
      </c>
    </row>
    <row r="103" spans="1:25" x14ac:dyDescent="0.2">
      <c r="A103" s="17" t="s">
        <v>15</v>
      </c>
      <c r="B103" s="17" t="s">
        <v>96</v>
      </c>
      <c r="C103" s="23" t="s">
        <v>104</v>
      </c>
      <c r="D103" s="26">
        <v>46157</v>
      </c>
      <c r="E103" s="26">
        <v>46176</v>
      </c>
      <c r="F103" s="27">
        <f>E103-D103</f>
        <v>19</v>
      </c>
      <c r="G103" s="27" t="s">
        <v>164</v>
      </c>
      <c r="H103" s="1" t="s">
        <v>115</v>
      </c>
      <c r="I103" s="27" t="s">
        <v>25</v>
      </c>
      <c r="J103" s="1" t="s">
        <v>322</v>
      </c>
      <c r="K103" s="30">
        <v>22790.01</v>
      </c>
      <c r="L103" s="17" t="s">
        <v>95</v>
      </c>
      <c r="M103" s="26">
        <v>46157</v>
      </c>
      <c r="N103" s="17" t="s">
        <v>30</v>
      </c>
      <c r="O103" s="26">
        <v>46160</v>
      </c>
      <c r="P103" s="17" t="s">
        <v>115</v>
      </c>
      <c r="Q103" s="26"/>
      <c r="R103" s="4" t="s">
        <v>319</v>
      </c>
      <c r="S103" s="5" t="s">
        <v>319</v>
      </c>
      <c r="T103" s="4" t="s">
        <v>319</v>
      </c>
      <c r="U103" s="5" t="s">
        <v>319</v>
      </c>
      <c r="V103" s="5" t="s">
        <v>319</v>
      </c>
      <c r="W103" s="5" t="s">
        <v>319</v>
      </c>
      <c r="X103" s="17" t="s">
        <v>18</v>
      </c>
      <c r="Y103" s="15">
        <v>7327.12</v>
      </c>
    </row>
    <row r="104" spans="1:25" x14ac:dyDescent="0.2">
      <c r="A104" s="17" t="s">
        <v>15</v>
      </c>
      <c r="B104" s="17" t="s">
        <v>33</v>
      </c>
      <c r="C104" s="22" t="s">
        <v>79</v>
      </c>
      <c r="D104" s="26">
        <v>46160</v>
      </c>
      <c r="E104" s="26">
        <v>46182</v>
      </c>
      <c r="F104" s="27">
        <f>E104-D104</f>
        <v>22</v>
      </c>
      <c r="G104" s="27" t="s">
        <v>20</v>
      </c>
      <c r="H104" s="1" t="s">
        <v>17</v>
      </c>
      <c r="I104" s="27" t="s">
        <v>25</v>
      </c>
      <c r="J104" s="1" t="s">
        <v>322</v>
      </c>
      <c r="K104" s="30">
        <v>23225</v>
      </c>
      <c r="L104" s="17" t="s">
        <v>113</v>
      </c>
      <c r="M104" s="26">
        <v>46179</v>
      </c>
      <c r="N104" s="17" t="s">
        <v>36</v>
      </c>
      <c r="O104" s="26">
        <v>46160</v>
      </c>
      <c r="P104" s="17" t="s">
        <v>17</v>
      </c>
      <c r="Q104" s="26"/>
      <c r="R104" s="4" t="s">
        <v>319</v>
      </c>
      <c r="S104" s="5" t="s">
        <v>319</v>
      </c>
      <c r="T104" s="4" t="s">
        <v>319</v>
      </c>
      <c r="U104" s="5" t="s">
        <v>319</v>
      </c>
      <c r="V104" s="5" t="s">
        <v>319</v>
      </c>
      <c r="W104" s="5" t="s">
        <v>319</v>
      </c>
      <c r="X104" s="17" t="s">
        <v>18</v>
      </c>
      <c r="Y104" s="15">
        <v>7238</v>
      </c>
    </row>
    <row r="105" spans="1:25" x14ac:dyDescent="0.2">
      <c r="A105" s="17" t="s">
        <v>15</v>
      </c>
      <c r="B105" s="17" t="s">
        <v>33</v>
      </c>
      <c r="C105" s="23" t="s">
        <v>79</v>
      </c>
      <c r="D105" s="26">
        <v>46160</v>
      </c>
      <c r="E105" s="26">
        <v>46182</v>
      </c>
      <c r="F105" s="27">
        <f>E105-D105</f>
        <v>22</v>
      </c>
      <c r="G105" s="27" t="s">
        <v>20</v>
      </c>
      <c r="H105" s="1" t="s">
        <v>115</v>
      </c>
      <c r="I105" s="27" t="s">
        <v>25</v>
      </c>
      <c r="J105" s="1" t="s">
        <v>322</v>
      </c>
      <c r="K105" s="30">
        <v>23225</v>
      </c>
      <c r="L105" s="17" t="s">
        <v>113</v>
      </c>
      <c r="M105" s="26">
        <v>46179</v>
      </c>
      <c r="N105" s="17" t="s">
        <v>36</v>
      </c>
      <c r="O105" s="26">
        <v>46160</v>
      </c>
      <c r="P105" s="17" t="s">
        <v>115</v>
      </c>
      <c r="Q105" s="26"/>
      <c r="R105" s="31">
        <f>10671.9-5950.24</f>
        <v>4721.66</v>
      </c>
      <c r="S105" s="32">
        <f>7532.21-5950.24</f>
        <v>1581.9700000000003</v>
      </c>
      <c r="T105" s="31">
        <f>2102.05-1226.55</f>
        <v>875.50000000000023</v>
      </c>
      <c r="U105" s="32">
        <f>1518.4-1226.55</f>
        <v>291.85000000000014</v>
      </c>
      <c r="V105" s="5" t="s">
        <v>319</v>
      </c>
      <c r="W105" s="5" t="s">
        <v>319</v>
      </c>
      <c r="X105" s="17" t="s">
        <v>18</v>
      </c>
      <c r="Y105" s="15">
        <v>7237.02</v>
      </c>
    </row>
    <row r="106" spans="1:25" x14ac:dyDescent="0.2">
      <c r="A106" s="17" t="s">
        <v>15</v>
      </c>
      <c r="B106" s="17" t="s">
        <v>97</v>
      </c>
      <c r="C106" s="25" t="s">
        <v>105</v>
      </c>
      <c r="D106" s="26">
        <v>46154</v>
      </c>
      <c r="E106" s="26">
        <v>46177</v>
      </c>
      <c r="F106" s="27">
        <f>E106-D106</f>
        <v>23</v>
      </c>
      <c r="G106" s="27" t="s">
        <v>164</v>
      </c>
      <c r="H106" s="1" t="s">
        <v>17</v>
      </c>
      <c r="I106" s="27" t="s">
        <v>25</v>
      </c>
      <c r="J106" s="1" t="s">
        <v>322</v>
      </c>
      <c r="K106" s="30">
        <v>25910</v>
      </c>
      <c r="L106" s="17" t="s">
        <v>1</v>
      </c>
      <c r="M106" s="26">
        <v>46154</v>
      </c>
      <c r="N106" s="17" t="s">
        <v>99</v>
      </c>
      <c r="O106" s="26">
        <v>46160</v>
      </c>
      <c r="P106" s="17" t="s">
        <v>17</v>
      </c>
      <c r="Q106" s="26"/>
      <c r="R106" s="31">
        <v>8788.7000000000007</v>
      </c>
      <c r="S106" s="5" t="s">
        <v>319</v>
      </c>
      <c r="T106" s="4" t="s">
        <v>319</v>
      </c>
      <c r="U106" s="5" t="s">
        <v>319</v>
      </c>
      <c r="V106" s="5" t="s">
        <v>319</v>
      </c>
      <c r="W106" s="5" t="s">
        <v>319</v>
      </c>
      <c r="X106" s="17" t="s">
        <v>98</v>
      </c>
      <c r="Y106" s="15">
        <v>5681.27</v>
      </c>
    </row>
    <row r="107" spans="1:25" x14ac:dyDescent="0.2">
      <c r="A107" s="17" t="s">
        <v>15</v>
      </c>
      <c r="B107" s="17" t="s">
        <v>97</v>
      </c>
      <c r="C107" s="23" t="s">
        <v>105</v>
      </c>
      <c r="D107" s="26">
        <v>46154</v>
      </c>
      <c r="E107" s="26">
        <v>46177</v>
      </c>
      <c r="F107" s="27">
        <f>E107-D107</f>
        <v>23</v>
      </c>
      <c r="G107" s="27" t="s">
        <v>164</v>
      </c>
      <c r="H107" s="1" t="s">
        <v>115</v>
      </c>
      <c r="I107" s="29" t="s">
        <v>25</v>
      </c>
      <c r="J107" s="1" t="s">
        <v>322</v>
      </c>
      <c r="K107" s="30">
        <v>25910</v>
      </c>
      <c r="L107" s="17" t="s">
        <v>1</v>
      </c>
      <c r="M107" s="26">
        <v>46154</v>
      </c>
      <c r="N107" s="17" t="s">
        <v>99</v>
      </c>
      <c r="O107" s="26">
        <v>46160</v>
      </c>
      <c r="P107" s="17" t="s">
        <v>115</v>
      </c>
      <c r="Q107" s="26"/>
      <c r="R107" s="31">
        <f>13142.86-7151.69</f>
        <v>5991.170000000001</v>
      </c>
      <c r="S107" s="32">
        <f>9154.23-7151.69</f>
        <v>2002.54</v>
      </c>
      <c r="T107" s="31">
        <f>6989.18-4191.65</f>
        <v>2797.5300000000007</v>
      </c>
      <c r="U107" s="32">
        <f>5120.61-4191.65</f>
        <v>928.96</v>
      </c>
      <c r="V107" s="5" t="s">
        <v>319</v>
      </c>
      <c r="W107" s="5" t="s">
        <v>319</v>
      </c>
      <c r="X107" s="17" t="s">
        <v>98</v>
      </c>
      <c r="Y107" s="15">
        <v>5681.27</v>
      </c>
    </row>
  </sheetData>
  <autoFilter ref="A1:Y107" xr:uid="{9C26820D-81C0-6849-B92E-D65DC21B0CEF}"/>
  <hyperlinks>
    <hyperlink ref="C85" r:id="rId1" xr:uid="{CFFBEFA7-118C-8445-97C7-F3D1B6D1459F}"/>
    <hyperlink ref="C70" r:id="rId2" xr:uid="{841F65AE-81B1-B842-BD2F-191F5B27C724}"/>
    <hyperlink ref="C93" r:id="rId3" xr:uid="{9BF0E43B-3623-DA4E-B8B2-6A51E8C0A9DA}"/>
    <hyperlink ref="C73" r:id="rId4" xr:uid="{720F4C18-EBF4-234C-AF73-48E5D412FD77}"/>
    <hyperlink ref="C72" r:id="rId5" xr:uid="{7C8F6249-160D-4C42-A59A-5C68628FC600}"/>
    <hyperlink ref="C78" r:id="rId6" xr:uid="{BF9CC0A4-5371-1845-83CC-3CAACDE8DEB0}"/>
    <hyperlink ref="C76" r:id="rId7" xr:uid="{E0454C0E-624D-BE41-B2EA-434EE280B73D}"/>
    <hyperlink ref="C94" r:id="rId8" xr:uid="{769DAD6E-E84B-5F4F-A3C5-01F70DDEC904}"/>
    <hyperlink ref="C82" r:id="rId9" xr:uid="{B99613A6-6AAA-7C4D-A182-478F9B461FF1}"/>
    <hyperlink ref="C99" r:id="rId10" xr:uid="{EE6DF81B-6E83-2044-870E-0EE979856B0F}"/>
    <hyperlink ref="C80" r:id="rId11" xr:uid="{F7A47DF3-646B-7048-8EE1-27DC4F1918B6}"/>
    <hyperlink ref="C79" r:id="rId12" xr:uid="{109A7530-FDEF-E14D-8E30-7C244ED11976}"/>
    <hyperlink ref="C69" r:id="rId13" xr:uid="{28DAA8DD-F742-9C4D-814E-60BADBCCEADB}"/>
    <hyperlink ref="C14" r:id="rId14" xr:uid="{605E63F3-981B-7D42-AF38-BB886EBCCAA2}"/>
    <hyperlink ref="C22" r:id="rId15" xr:uid="{EDB30BB3-1058-0446-B744-9619A2C4D270}"/>
    <hyperlink ref="C24" r:id="rId16" xr:uid="{C2DFD549-5796-E044-873F-7E2C6CCBC298}"/>
    <hyperlink ref="C25" r:id="rId17" xr:uid="{FCD2A680-1E09-DE41-8CB4-D62B1BF9E4C6}"/>
    <hyperlink ref="C28" r:id="rId18" xr:uid="{9DF8FE6D-5931-E740-B76B-36456111527A}"/>
    <hyperlink ref="C21" r:id="rId19" xr:uid="{3CD2077E-8408-D94F-B5C0-36A55D10ED99}"/>
    <hyperlink ref="C26" r:id="rId20" xr:uid="{20664A2F-D65E-DA43-BE7A-441A9ADBE649}"/>
    <hyperlink ref="C15" r:id="rId21" xr:uid="{AE827DD9-44BA-1E41-8455-CEDC2FD921D6}"/>
    <hyperlink ref="C18" r:id="rId22" xr:uid="{E2E25383-5C33-704E-9EF4-AFFC2922460A}"/>
    <hyperlink ref="C17" r:id="rId23" xr:uid="{CF9E1837-8773-F040-ADAE-08295FF4013B}"/>
    <hyperlink ref="C8" r:id="rId24" xr:uid="{65B942B0-558A-FE40-9378-1152E17C6FDA}"/>
    <hyperlink ref="C7" r:id="rId25" xr:uid="{F5BC049F-0E53-9D42-98C0-E990EE4F7B96}"/>
    <hyperlink ref="C11" r:id="rId26" xr:uid="{01B60E53-60AB-5340-865B-7C0A5F3FADB1}"/>
    <hyperlink ref="C104" r:id="rId27" xr:uid="{8C16EFE4-9C43-6944-AC8B-6B979F5C035F}"/>
    <hyperlink ref="C95" r:id="rId28" xr:uid="{BF0F7079-49FB-454C-8D9B-58A1F14A3B1D}"/>
    <hyperlink ref="C101" r:id="rId29" xr:uid="{836CE67F-1ACB-C848-8599-E1C81D09CD64}"/>
    <hyperlink ref="C100" r:id="rId30" xr:uid="{E724978C-3E29-F64E-928E-B2DDA697CAEC}"/>
    <hyperlink ref="C106" r:id="rId31" xr:uid="{C7794F0B-B0AC-B042-A6CA-F5A6F23E0C43}"/>
    <hyperlink ref="C50" r:id="rId32" xr:uid="{88ED9EE4-6BEC-7947-95A7-6D22AD80B9DF}"/>
    <hyperlink ref="C23" r:id="rId33" xr:uid="{D0BCD053-7108-7941-8C96-158C3E264FB0}"/>
    <hyperlink ref="C27" r:id="rId34" xr:uid="{8E02F930-9F99-C947-A7BB-586ADF117E86}"/>
    <hyperlink ref="C35" r:id="rId35" xr:uid="{936B83D5-F788-DA4B-AE3A-070E64F39CEC}"/>
    <hyperlink ref="C37" r:id="rId36" xr:uid="{3A1F12B7-DE10-044A-8ECD-37C59C495991}"/>
    <hyperlink ref="C38" r:id="rId37" xr:uid="{70DEAB30-AB7B-B74C-9393-B6C851FFB67C}"/>
    <hyperlink ref="C97" r:id="rId38" xr:uid="{3A339F18-92D5-524F-9E23-4AC49A5D084F}"/>
    <hyperlink ref="C90" r:id="rId39" xr:uid="{521BA9BF-51FF-6247-9F5A-205B84ED598A}"/>
    <hyperlink ref="C91" r:id="rId40" xr:uid="{5CB2C9DA-8294-9D46-A58D-B7FB57252AB6}"/>
    <hyperlink ref="C98" r:id="rId41" xr:uid="{13C44051-B06C-DE41-9FAA-D8E9CBF21B2C}"/>
    <hyperlink ref="C102" r:id="rId42" xr:uid="{4A248825-B336-FD4C-83C5-786CB82743C5}"/>
    <hyperlink ref="C103" r:id="rId43" xr:uid="{08CA6CE8-9339-4441-9AAE-0ECD469808CC}"/>
    <hyperlink ref="C105" r:id="rId44" xr:uid="{086FBEAD-629D-2A48-A711-70BF9F2A89D1}"/>
    <hyperlink ref="C96" r:id="rId45" xr:uid="{C130BF9F-FCD9-CA49-B487-3B1CC97DF0E8}"/>
    <hyperlink ref="C92" r:id="rId46" xr:uid="{B5F5943C-450A-1F4A-AFAD-6CD92EA45AE4}"/>
    <hyperlink ref="C107" r:id="rId47" xr:uid="{A3F12214-22A4-9C4E-9F71-D3C5D4135557}"/>
    <hyperlink ref="C86" r:id="rId48" xr:uid="{D0AAFA11-79B3-3D48-90F3-71D6EFE4273C}"/>
    <hyperlink ref="C89" r:id="rId49" xr:uid="{180DCB92-42F4-0144-BA3F-4F8C93B78D86}"/>
    <hyperlink ref="C88" r:id="rId50" xr:uid="{BC43C621-A06B-5346-9896-057EA2F44DEF}"/>
    <hyperlink ref="C87" r:id="rId51" xr:uid="{F135014C-4222-F541-87EC-EDF7180F7804}"/>
    <hyperlink ref="C83" r:id="rId52" xr:uid="{6CB567FB-595B-7B4B-BF01-753B03D1191D}"/>
    <hyperlink ref="C62" r:id="rId53" xr:uid="{33EA8828-F60F-1C40-8D51-9685C86A881D}"/>
    <hyperlink ref="C60" r:id="rId54" xr:uid="{6617A9CD-247B-C844-BC29-BE75F223DBA8}"/>
    <hyperlink ref="C57" r:id="rId55" xr:uid="{52F3FCBE-9F90-834A-A24E-FCC6C6FA3C05}"/>
    <hyperlink ref="C61" r:id="rId56" xr:uid="{DD0CD6FE-14CD-074D-B895-452447C32334}"/>
    <hyperlink ref="C59" r:id="rId57" xr:uid="{AFF9636F-5FE5-ED45-9929-419F50634498}"/>
    <hyperlink ref="C54" r:id="rId58" xr:uid="{64603510-0C2C-D845-9CF4-628BCBA3F466}"/>
    <hyperlink ref="C55" r:id="rId59" xr:uid="{946E8CAF-E831-6944-817E-4F0492AE48CA}"/>
    <hyperlink ref="C58" r:id="rId60" xr:uid="{0183839B-F0D4-7243-984A-EFC73AC28284}"/>
    <hyperlink ref="C65" r:id="rId61" xr:uid="{F901F5E2-6193-0441-A129-A9F471139B96}"/>
    <hyperlink ref="C63" r:id="rId62" xr:uid="{7A8D130F-ABB0-F84A-A04D-60C9A3B0CC10}"/>
    <hyperlink ref="C64" r:id="rId63" xr:uid="{FED725F0-71BB-DA4F-BEE0-258841CE49F6}"/>
    <hyperlink ref="C56" r:id="rId64" xr:uid="{3AF0C2F1-6F43-FE44-BBB6-F5E285F36974}"/>
    <hyperlink ref="C53" r:id="rId65" xr:uid="{792A951F-76D0-364A-B540-A1D9C6BAD0B9}"/>
    <hyperlink ref="C66" r:id="rId66" xr:uid="{6A9922A4-CF33-1642-BE09-7032B90D75A3}"/>
    <hyperlink ref="C52" r:id="rId67" xr:uid="{56E07515-9D4C-5C47-B54A-E5050AA6A084}"/>
    <hyperlink ref="C47" r:id="rId68" xr:uid="{4516C943-EC99-F84E-90D0-DB338227E653}"/>
    <hyperlink ref="C45" r:id="rId69" xr:uid="{E0D815CD-A3B6-EF45-9FA0-47087C83BC0C}"/>
    <hyperlink ref="C46" r:id="rId70" xr:uid="{F406DF0A-679E-284E-82DC-41DE804151E1}"/>
    <hyperlink ref="C67" r:id="rId71" xr:uid="{36843C51-3537-314F-B835-48A125C8BD75}"/>
    <hyperlink ref="C68" r:id="rId72" xr:uid="{83EBD669-5BEE-8A4B-9870-1CEAAB5C5289}"/>
    <hyperlink ref="C71" r:id="rId73" xr:uid="{4BD7638E-69D2-A344-8C07-C16724336D06}"/>
    <hyperlink ref="C81" r:id="rId74" xr:uid="{FC031D82-8529-4343-ADDB-2BDAEEC2B111}"/>
    <hyperlink ref="C75" r:id="rId75" xr:uid="{1CCFB0C7-BB5B-2A4F-AB2F-34E590B4978A}"/>
    <hyperlink ref="C33" r:id="rId76" xr:uid="{947AA16F-2C19-C24B-8F93-012A13F35F62}"/>
    <hyperlink ref="C32" r:id="rId77" xr:uid="{8EA9ADD5-37AA-CF4A-982A-2C22E2EBE579}"/>
    <hyperlink ref="C36" r:id="rId78" xr:uid="{7F65D84B-C551-B94C-8F4B-D0B877D5D9CC}"/>
    <hyperlink ref="C40" r:id="rId79" xr:uid="{E734BD8E-F0D4-6841-8C5B-77AE4D7AA833}"/>
    <hyperlink ref="C41" r:id="rId80" xr:uid="{9827BE15-DB10-3B4B-A803-D496FA5D72CD}"/>
    <hyperlink ref="C42" r:id="rId81" xr:uid="{4428B9CA-FF0B-804F-BE59-3835B3D84371}"/>
    <hyperlink ref="C43" r:id="rId82" xr:uid="{2A5D7AEC-4806-8F44-8834-68F654334080}"/>
    <hyperlink ref="C34" r:id="rId83" xr:uid="{E9D477C6-FC28-0943-A249-EAAE038DAA68}"/>
    <hyperlink ref="C44" r:id="rId84" xr:uid="{75D83BDE-6263-DE42-8DE6-540243578EFB}"/>
    <hyperlink ref="C74" r:id="rId85" xr:uid="{538232C4-900E-C348-8892-2BA749EF3FE4}"/>
    <hyperlink ref="C77" r:id="rId86" xr:uid="{55E81DD2-6BC3-344C-8D9A-2EC415E6C748}"/>
    <hyperlink ref="C51" r:id="rId87" xr:uid="{EB5B590B-5A34-3F48-8202-339CB5BD16CF}"/>
    <hyperlink ref="C31" r:id="rId88" xr:uid="{2C698C44-9BBF-7A46-9116-E16E8F36B5B7}"/>
    <hyperlink ref="C29" r:id="rId89" xr:uid="{009EB295-6DBE-444D-BD37-511AFF889146}"/>
    <hyperlink ref="C30" r:id="rId90" xr:uid="{155522C9-7A45-1A41-8C50-CC2504872CF6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Islam (syeislam)</dc:creator>
  <cp:lastModifiedBy>Syed Islam (syeislam)</cp:lastModifiedBy>
  <dcterms:created xsi:type="dcterms:W3CDTF">2026-01-12T10:15:17Z</dcterms:created>
  <dcterms:modified xsi:type="dcterms:W3CDTF">2026-01-24T18:00:09Z</dcterms:modified>
</cp:coreProperties>
</file>